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HAD\Documents\"/>
    </mc:Choice>
  </mc:AlternateContent>
  <xr:revisionPtr revIDLastSave="0" documentId="8_{C8F59CAB-CF68-4027-AB0C-07F5E89A2987}" xr6:coauthVersionLast="47" xr6:coauthVersionMax="47" xr10:uidLastSave="{00000000-0000-0000-0000-000000000000}"/>
  <bookViews>
    <workbookView xWindow="-120" yWindow="-120" windowWidth="20730" windowHeight="11040" xr2:uid="{3F5C67F2-23E7-4C31-AB8B-ABD8F07A8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1" i="1" l="1"/>
  <c r="H70" i="1"/>
  <c r="H69" i="1"/>
  <c r="H66" i="1"/>
  <c r="H65" i="1"/>
  <c r="H63" i="1"/>
  <c r="H62" i="1"/>
  <c r="H61" i="1"/>
  <c r="H60" i="1"/>
  <c r="H59" i="1"/>
  <c r="H58" i="1"/>
  <c r="H57" i="1"/>
  <c r="H56" i="1"/>
  <c r="H51" i="1"/>
  <c r="H50" i="1"/>
  <c r="H48" i="1"/>
  <c r="H47" i="1"/>
  <c r="H46" i="1"/>
  <c r="H45" i="1"/>
  <c r="H44" i="1"/>
  <c r="H39" i="1"/>
  <c r="H38" i="1"/>
  <c r="H36" i="1"/>
  <c r="H35" i="1"/>
  <c r="H34" i="1"/>
  <c r="H33" i="1"/>
  <c r="H32" i="1"/>
  <c r="H27" i="1"/>
  <c r="H26" i="1"/>
  <c r="H24" i="1"/>
  <c r="H23" i="1"/>
  <c r="H22" i="1"/>
  <c r="H21" i="1"/>
  <c r="H20" i="1"/>
  <c r="H72" i="1" l="1"/>
  <c r="H53" i="1"/>
  <c r="H41" i="1"/>
  <c r="H29" i="1"/>
  <c r="H73" i="1" l="1"/>
  <c r="H74" i="1" s="1"/>
  <c r="H75" i="1" s="1"/>
</calcChain>
</file>

<file path=xl/sharedStrings.xml><?xml version="1.0" encoding="utf-8"?>
<sst xmlns="http://schemas.openxmlformats.org/spreadsheetml/2006/main" count="187" uniqueCount="107">
  <si>
    <r>
      <t xml:space="preserve">MIKRO BUSWAY SDN BHD </t>
    </r>
    <r>
      <rPr>
        <b/>
        <u/>
        <sz val="12"/>
        <rFont val="Arial Unicode MS"/>
        <family val="2"/>
      </rPr>
      <t>(201001002004)</t>
    </r>
  </si>
  <si>
    <t>No. 61 &amp; 62, Jalan Platinum 5/3,</t>
  </si>
  <si>
    <t>Pusat Perdagangan Nilai Impian XME,</t>
  </si>
  <si>
    <t>71800, Nilai, Negeri Sembilan, Malaysia.</t>
  </si>
  <si>
    <t xml:space="preserve">  </t>
  </si>
  <si>
    <t>Tel: +606-795 3362       Email: busway@itmikro.com</t>
  </si>
  <si>
    <t>SST NO : N10-1808-21016496</t>
  </si>
  <si>
    <t>To</t>
  </si>
  <si>
    <t>Date</t>
  </si>
  <si>
    <t>Attn</t>
  </si>
  <si>
    <t>Tel</t>
  </si>
  <si>
    <t>From</t>
  </si>
  <si>
    <t>Fax / Email</t>
  </si>
  <si>
    <t>QUOTATION</t>
  </si>
  <si>
    <t>No.</t>
  </si>
  <si>
    <t>Description</t>
  </si>
  <si>
    <t>Quantity</t>
  </si>
  <si>
    <t>Unit</t>
  </si>
  <si>
    <t>Unit Rate</t>
  </si>
  <si>
    <t>Total Amount</t>
  </si>
  <si>
    <t>Ex-Nilai Factory in RM</t>
  </si>
  <si>
    <r>
      <t xml:space="preserve">MIKRO BUSWAY </t>
    </r>
    <r>
      <rPr>
        <b/>
        <u/>
        <sz val="12"/>
        <rFont val="Arial Unicode MS"/>
        <family val="2"/>
      </rPr>
      <t># 4000A</t>
    </r>
    <r>
      <rPr>
        <u/>
        <sz val="12"/>
        <rFont val="Arial Unicode MS"/>
        <family val="2"/>
      </rPr>
      <t xml:space="preserve"> </t>
    </r>
    <r>
      <rPr>
        <b/>
        <u/>
        <sz val="12"/>
        <rFont val="Arial Unicode MS"/>
        <family val="2"/>
      </rPr>
      <t>TPNE, 3P5W+50%E, 600VAC, 50Hz (ALUMINIUM)</t>
    </r>
    <r>
      <rPr>
        <b/>
        <i/>
        <u/>
        <sz val="12"/>
        <rFont val="Arial Unicode MS"/>
        <family val="2"/>
      </rPr>
      <t xml:space="preserve"> - </t>
    </r>
    <r>
      <rPr>
        <b/>
        <u/>
        <sz val="12"/>
        <rFont val="Arial Unicode MS"/>
        <family val="2"/>
      </rPr>
      <t>IP54</t>
    </r>
  </si>
  <si>
    <t>FROM TX-1 TO MSB-1</t>
  </si>
  <si>
    <r>
      <t xml:space="preserve">FEEDER C/W INTEGRAL EARTH  </t>
    </r>
    <r>
      <rPr>
        <b/>
        <sz val="10"/>
        <rFont val="Arial Unicode MS"/>
        <family val="2"/>
      </rPr>
      <t>(Horizontal)</t>
    </r>
  </si>
  <si>
    <t>MTR</t>
  </si>
  <si>
    <t>FLANGE END</t>
  </si>
  <si>
    <t>NOS</t>
  </si>
  <si>
    <t>HORIZONTAL ELBOW</t>
  </si>
  <si>
    <t>VERTICAL ELBOW</t>
  </si>
  <si>
    <t>FLEXIBLE LINK (BRAIDED TYPE)</t>
  </si>
  <si>
    <t>SETS</t>
  </si>
  <si>
    <t>OPTIONAL</t>
  </si>
  <si>
    <r>
      <t>MOUNTING CLAMP</t>
    </r>
    <r>
      <rPr>
        <sz val="14"/>
        <rFont val="Arial Unicode MS"/>
        <family val="2"/>
      </rPr>
      <t xml:space="preserve"> (</t>
    </r>
    <r>
      <rPr>
        <sz val="12"/>
        <rFont val="Arial Unicode MS"/>
        <family val="2"/>
      </rPr>
      <t>W/O ROD &amp; C-CHANNEL)</t>
    </r>
  </si>
  <si>
    <t>BI-METAL PLATE (2 x 80mm x 200mm, 8 pcs/set)</t>
  </si>
  <si>
    <t>CONNECTION BARS (TX &amp; MSB)</t>
  </si>
  <si>
    <t>LOTS</t>
  </si>
  <si>
    <t>EXCLUDED</t>
  </si>
  <si>
    <r>
      <t>MIKRO BUSWAY</t>
    </r>
    <r>
      <rPr>
        <b/>
        <i/>
        <u/>
        <sz val="12"/>
        <rFont val="Arial Unicode MS"/>
        <family val="2"/>
      </rPr>
      <t xml:space="preserve"> </t>
    </r>
    <r>
      <rPr>
        <b/>
        <u/>
        <sz val="12"/>
        <rFont val="Arial Unicode MS"/>
        <family val="2"/>
      </rPr>
      <t>#4000A</t>
    </r>
    <r>
      <rPr>
        <u/>
        <sz val="12"/>
        <rFont val="Arial Unicode MS"/>
        <family val="2"/>
      </rPr>
      <t xml:space="preserve"> </t>
    </r>
    <r>
      <rPr>
        <b/>
        <u/>
        <sz val="12"/>
        <rFont val="Arial Unicode MS"/>
        <family val="2"/>
      </rPr>
      <t>TPNE, 3P5W+50%E, 600VAC, 50Hz (ALUMINIUM)</t>
    </r>
    <r>
      <rPr>
        <b/>
        <i/>
        <u/>
        <sz val="12"/>
        <rFont val="Arial Unicode MS"/>
        <family val="2"/>
      </rPr>
      <t xml:space="preserve"> - </t>
    </r>
    <r>
      <rPr>
        <b/>
        <u/>
        <sz val="12"/>
        <rFont val="Arial Unicode MS"/>
        <family val="2"/>
      </rPr>
      <t>IP54</t>
    </r>
  </si>
  <si>
    <t>FROM TX-2 TO MSB-2</t>
  </si>
  <si>
    <t>VERTCAL ELBOW</t>
  </si>
  <si>
    <t>FROM TX-3 TO MSB-3</t>
  </si>
  <si>
    <r>
      <t xml:space="preserve">MIKRO BUSWAY </t>
    </r>
    <r>
      <rPr>
        <b/>
        <u/>
        <sz val="12"/>
        <rFont val="Arial Unicode MS"/>
        <family val="2"/>
      </rPr>
      <t># 1600A</t>
    </r>
    <r>
      <rPr>
        <u/>
        <sz val="12"/>
        <rFont val="Arial Unicode MS"/>
        <family val="2"/>
      </rPr>
      <t xml:space="preserve"> </t>
    </r>
    <r>
      <rPr>
        <b/>
        <u/>
        <sz val="12"/>
        <rFont val="Arial Unicode MS"/>
        <family val="2"/>
      </rPr>
      <t>TPNE, 3P4W+50%E, 600VAC, 50Hz (ALUMINIUM)</t>
    </r>
    <r>
      <rPr>
        <b/>
        <i/>
        <u/>
        <sz val="12"/>
        <rFont val="Arial Unicode MS"/>
        <family val="2"/>
      </rPr>
      <t xml:space="preserve"> - </t>
    </r>
    <r>
      <rPr>
        <b/>
        <u/>
        <sz val="12"/>
        <rFont val="Arial Unicode MS"/>
        <family val="2"/>
      </rPr>
      <t>IP54</t>
    </r>
  </si>
  <si>
    <t>FROM MSB-1 TO  TEST BAY 1-5</t>
  </si>
  <si>
    <t xml:space="preserve">FEEDER C/W INTEGRAL EARTH </t>
  </si>
  <si>
    <t>END CLOSURE</t>
  </si>
  <si>
    <t>FIXED HANGER (1 SET = 2 NOS)</t>
  </si>
  <si>
    <t>SPRING HANGER (1 SET = 2 NOS)</t>
  </si>
  <si>
    <t>PLUG-IN OPENING</t>
  </si>
  <si>
    <t>PLUG-IN OPENING (SPARE)</t>
  </si>
  <si>
    <t>BI-METAL PLATE (1 x 80mm x 150mm, 4 pcs/set)</t>
  </si>
  <si>
    <r>
      <t xml:space="preserve">PLUG-IN UNIT </t>
    </r>
    <r>
      <rPr>
        <i/>
        <u/>
        <sz val="14"/>
        <rFont val="Arial Unicode MS"/>
        <family val="2"/>
      </rPr>
      <t>(HYUNDAI) - 26KA</t>
    </r>
  </si>
  <si>
    <t>250A TPN MCCB (ON/OFF) C/W SHUNT TRIP</t>
  </si>
  <si>
    <t>400A TPN MCCB (ON/OFF) C/W SHUNT TRIP</t>
  </si>
  <si>
    <t>630A TPN MCCB (ON/OFF) C/W SHUNT TRIP</t>
  </si>
  <si>
    <t>Sub-Total Amount  :</t>
  </si>
  <si>
    <t>10% SST:  :</t>
  </si>
  <si>
    <t>Grand Total Amount for Item No. 1 TO 4 , Ex-Nilai Factory in RM  :</t>
  </si>
  <si>
    <t>Manufacturer</t>
  </si>
  <si>
    <t>: Mikro Busway Sdn Bhd, Malaysia.</t>
  </si>
  <si>
    <t>Validity</t>
  </si>
  <si>
    <r>
      <t xml:space="preserve">: Based on </t>
    </r>
    <r>
      <rPr>
        <b/>
        <sz val="12"/>
        <rFont val="Arial Unicode MS"/>
        <family val="2"/>
      </rPr>
      <t>LME Alu.@USD3,592 /MT</t>
    </r>
    <r>
      <rPr>
        <sz val="12"/>
        <rFont val="Arial Unicode MS"/>
        <family val="2"/>
      </rPr>
      <t xml:space="preserve"> and thereafter depands on current LME Aluminium price.</t>
    </r>
  </si>
  <si>
    <t>Delivery</t>
  </si>
  <si>
    <t>: Approximately 8 to 10 working weeks upon receipt of approval drawings.</t>
  </si>
  <si>
    <t>Price</t>
  </si>
  <si>
    <t>: Ex-Nilai Factory in Ringgit Malaysia (RM).</t>
  </si>
  <si>
    <t>Payment</t>
  </si>
  <si>
    <r>
      <t xml:space="preserve">: </t>
    </r>
    <r>
      <rPr>
        <b/>
        <sz val="14"/>
        <rFont val="Arial Unicode MS"/>
        <family val="2"/>
      </rPr>
      <t>30%</t>
    </r>
    <r>
      <rPr>
        <sz val="12"/>
        <rFont val="Arial Unicode MS"/>
        <family val="2"/>
      </rPr>
      <t xml:space="preserve"> Deposit is required upon confirmation of order.</t>
    </r>
  </si>
  <si>
    <t xml:space="preserve">  Balance on Irrevocable Letter of Credit 60 Days.</t>
  </si>
  <si>
    <t>Remarks :</t>
  </si>
  <si>
    <t>1.  The quantities quoted are rough estimation only. Final busway amount shall based on the actual</t>
  </si>
  <si>
    <t xml:space="preserve">     delivery and approved shop-drawings.</t>
  </si>
  <si>
    <t>2.  All Bi-Metal materials for Aluminum Busway are by contractor.</t>
  </si>
  <si>
    <r>
      <t>3.  The prices quoted are based on</t>
    </r>
    <r>
      <rPr>
        <b/>
        <sz val="12"/>
        <rFont val="Arial Unicode MS"/>
        <family val="2"/>
      </rPr>
      <t xml:space="preserve"> 07-06-2026 LME Aluminium @USD3,592 /MT.</t>
    </r>
  </si>
  <si>
    <t>4.  Should any modification on factory standard dimensions are chargeable.</t>
  </si>
  <si>
    <t>5.  All horizontal hanger support are by contractor.</t>
  </si>
  <si>
    <t>6.  Any delivery to other than project site are subject to additional transportation surcharge.</t>
  </si>
  <si>
    <r>
      <t xml:space="preserve">7.  The prices quoted are </t>
    </r>
    <r>
      <rPr>
        <b/>
        <sz val="12"/>
        <rFont val="Arial Unicode MS"/>
        <family val="2"/>
      </rPr>
      <t>EXCLUDING</t>
    </r>
    <r>
      <rPr>
        <sz val="12"/>
        <rFont val="Arial Unicode MS"/>
        <family val="2"/>
      </rPr>
      <t xml:space="preserve"> all installation works, all termination of the busway to panels or</t>
    </r>
  </si>
  <si>
    <t xml:space="preserve">     transformers, testing and commissioning at site.</t>
  </si>
  <si>
    <t>8.  Warranty against manufacturing defects is 12 calendar months after delivery. This warranty does not</t>
  </si>
  <si>
    <t xml:space="preserve">     cover reimbursement of consequential or incidental damages, labour, transportation, removal of the</t>
  </si>
  <si>
    <t xml:space="preserve">     installation or any other expenses which may be incurred in connection with the repair and replacement.</t>
  </si>
  <si>
    <t>MIKRO BUSWAY SDN BERHAD</t>
  </si>
  <si>
    <t>PREPARED BY:</t>
  </si>
  <si>
    <t>REVIEWED BY:</t>
  </si>
  <si>
    <t>…………………………………………. </t>
  </si>
  <si>
    <t>FERHAD DANIEL </t>
  </si>
  <si>
    <t>GLADNESS LEE </t>
  </si>
  <si>
    <t>Sales Administration</t>
  </si>
  <si>
    <t>Sales &amp; Marketing Excutive  </t>
  </si>
  <si>
    <t>Mobile : (011) 2304 5638</t>
  </si>
  <si>
    <t>Mobile : (012) 377 1618 </t>
  </si>
  <si>
    <t>Email : ferhad.d@itmikro.com</t>
  </si>
  <si>
    <t>Email : gladness@itmikro.com</t>
  </si>
  <si>
    <t xml:space="preserve">: </t>
  </si>
  <si>
    <t>:</t>
  </si>
  <si>
    <r>
      <t xml:space="preserve">OUR REF </t>
    </r>
    <r>
      <rPr>
        <b/>
        <sz val="11"/>
        <rFont val="Arial Unicode MS"/>
        <family val="2"/>
      </rPr>
      <t xml:space="preserve">   </t>
    </r>
    <r>
      <rPr>
        <b/>
        <sz val="12"/>
        <rFont val="Arial Unicode MS"/>
        <family val="2"/>
      </rPr>
      <t xml:space="preserve">: </t>
    </r>
  </si>
  <si>
    <t xml:space="preserve">PROJECT   : </t>
  </si>
  <si>
    <t xml:space="preserve">M&amp;E : </t>
  </si>
  <si>
    <t>COPPER PROJECT REMARKS</t>
  </si>
  <si>
    <t>NOTE : The prices quoted are based on Exchange Rate of USD 1.00 = RM 4.13</t>
  </si>
  <si>
    <t>: Mikro Busway Sdn Bhd, Malaysia</t>
  </si>
  <si>
    <t>: 3 days from date of quotation. Thereafter shall depands on LME Copper price.</t>
  </si>
  <si>
    <r>
      <t xml:space="preserve">: </t>
    </r>
    <r>
      <rPr>
        <b/>
        <sz val="14"/>
        <rFont val="Arial"/>
        <family val="2"/>
      </rPr>
      <t>20%</t>
    </r>
    <r>
      <rPr>
        <sz val="12"/>
        <rFont val="Arial"/>
        <family val="2"/>
      </rPr>
      <t xml:space="preserve"> Deposit is required to secure LME Copper @</t>
    </r>
    <r>
      <rPr>
        <b/>
        <sz val="12"/>
        <rFont val="Arial"/>
        <family val="2"/>
      </rPr>
      <t xml:space="preserve"> USD 13, 690/MT</t>
    </r>
    <r>
      <rPr>
        <sz val="12"/>
        <rFont val="Arial"/>
        <family val="2"/>
      </rPr>
      <t xml:space="preserve">. </t>
    </r>
  </si>
  <si>
    <r>
      <rPr>
        <sz val="12"/>
        <rFont val="Arial"/>
        <family val="2"/>
      </rPr>
      <t>2</t>
    </r>
    <r>
      <rPr>
        <b/>
        <sz val="12"/>
        <rFont val="Arial"/>
        <family val="2"/>
      </rPr>
      <t>.</t>
    </r>
    <r>
      <rPr>
        <sz val="12"/>
        <rFont val="Arial"/>
        <family val="2"/>
      </rPr>
      <t xml:space="preserve">  All Bi-Metal materials for Aluminum Busway are by contractor.</t>
    </r>
  </si>
  <si>
    <t>2.  All Copper Bars are 100% Electro Tin-Plated.</t>
  </si>
  <si>
    <r>
      <t xml:space="preserve">3.  The prices quoted are based on </t>
    </r>
    <r>
      <rPr>
        <b/>
        <sz val="12"/>
        <rFont val="Arial"/>
        <family val="2"/>
      </rPr>
      <t>18-06-2026 LME Copper @ USD 13,690/MT.</t>
    </r>
  </si>
  <si>
    <r>
      <t xml:space="preserve">7.  The prices quoted are </t>
    </r>
    <r>
      <rPr>
        <b/>
        <sz val="12"/>
        <rFont val="Arial"/>
        <family val="2"/>
      </rPr>
      <t>EXCLUDING</t>
    </r>
    <r>
      <rPr>
        <sz val="12"/>
        <rFont val="Arial"/>
        <family val="2"/>
      </rPr>
      <t xml:space="preserve"> all installation works, all termination of the busway to panels 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</si>
</sst>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u/>
      <sz val="18"/>
      <name val="Arial Unicode MS"/>
      <family val="2"/>
    </font>
    <font>
      <b/>
      <u/>
      <sz val="12"/>
      <name val="Arial Unicode MS"/>
      <family val="2"/>
    </font>
    <font>
      <b/>
      <u/>
      <sz val="16"/>
      <name val="Arial Unicode MS"/>
      <family val="2"/>
    </font>
    <font>
      <sz val="12"/>
      <name val="Arial Unicode MS"/>
      <family val="2"/>
    </font>
    <font>
      <sz val="11"/>
      <name val="Arial Unicode MS"/>
      <family val="2"/>
    </font>
    <font>
      <sz val="10"/>
      <name val="Arial Unicode MS"/>
      <family val="2"/>
    </font>
    <font>
      <sz val="9"/>
      <name val="Arial Unicode MS"/>
      <family val="2"/>
    </font>
    <font>
      <sz val="11"/>
      <name val="Times New Roman"/>
      <family val="1"/>
    </font>
    <font>
      <b/>
      <sz val="10"/>
      <name val="Arial Unicode MS"/>
      <family val="2"/>
    </font>
    <font>
      <b/>
      <sz val="10"/>
      <name val="Times New Roman"/>
      <family val="1"/>
    </font>
    <font>
      <b/>
      <sz val="12"/>
      <name val="Arial Unicode MS"/>
      <family val="2"/>
    </font>
    <font>
      <sz val="10"/>
      <name val="VNI-Times"/>
      <family val="2"/>
    </font>
    <font>
      <b/>
      <sz val="14"/>
      <name val="Arial Unicode MS"/>
      <family val="2"/>
    </font>
    <font>
      <b/>
      <sz val="11"/>
      <name val="Arial Unicode MS"/>
      <family val="2"/>
    </font>
    <font>
      <b/>
      <u/>
      <sz val="11"/>
      <name val="Arial Unicode MS"/>
      <family val="2"/>
    </font>
    <font>
      <b/>
      <i/>
      <u/>
      <sz val="14"/>
      <name val="Arial Unicode MS"/>
      <family val="2"/>
    </font>
    <font>
      <u/>
      <sz val="12"/>
      <name val="Arial Unicode MS"/>
      <family val="2"/>
    </font>
    <font>
      <b/>
      <i/>
      <u/>
      <sz val="12"/>
      <name val="Arial Unicode MS"/>
      <family val="2"/>
    </font>
    <font>
      <sz val="14"/>
      <name val="Arial Unicode MS"/>
      <family val="2"/>
    </font>
    <font>
      <i/>
      <u/>
      <sz val="14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b/>
      <u/>
      <sz val="14"/>
      <name val="Arial Unicode MS"/>
      <family val="2"/>
    </font>
    <font>
      <b/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1"/>
      <color rgb="FF000000"/>
      <name val="Arial Unicode MS"/>
      <family val="2"/>
    </font>
    <font>
      <sz val="14"/>
      <color rgb="FFFF0000"/>
      <name val="Calibri"/>
      <family val="2"/>
      <scheme val="minor"/>
    </font>
    <font>
      <u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4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1" fontId="6" fillId="0" borderId="0" xfId="0" applyNumberFormat="1" applyFont="1" applyAlignment="1">
      <alignment horizontal="right"/>
    </xf>
    <xf numFmtId="4" fontId="6" fillId="0" borderId="0" xfId="1" applyNumberFormat="1" applyFont="1"/>
    <xf numFmtId="0" fontId="6" fillId="0" borderId="0" xfId="0" applyFont="1"/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4" fontId="9" fillId="0" borderId="0" xfId="1" applyNumberFormat="1" applyFont="1" applyAlignment="1">
      <alignment vertical="center"/>
    </xf>
    <xf numFmtId="0" fontId="9" fillId="0" borderId="0" xfId="0" applyFont="1" applyAlignment="1">
      <alignment vertical="center"/>
    </xf>
    <xf numFmtId="1" fontId="9" fillId="0" borderId="0" xfId="0" applyNumberFormat="1" applyFont="1" applyAlignment="1">
      <alignment horizontal="right"/>
    </xf>
    <xf numFmtId="4" fontId="9" fillId="0" borderId="0" xfId="1" applyNumberFormat="1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7" fillId="0" borderId="0" xfId="1" applyNumberFormat="1" applyFont="1" applyAlignment="1">
      <alignment horizontal="right"/>
    </xf>
    <xf numFmtId="4" fontId="7" fillId="0" borderId="0" xfId="1" applyNumberFormat="1" applyFont="1" applyAlignment="1">
      <alignment horizontal="right"/>
    </xf>
    <xf numFmtId="40" fontId="7" fillId="0" borderId="0" xfId="1" applyNumberFormat="1" applyFont="1" applyAlignment="1">
      <alignment horizontal="right"/>
    </xf>
    <xf numFmtId="0" fontId="11" fillId="0" borderId="0" xfId="0" applyFont="1" applyAlignment="1">
      <alignment vertical="center"/>
    </xf>
    <xf numFmtId="0" fontId="11" fillId="0" borderId="0" xfId="0" applyFont="1"/>
    <xf numFmtId="164" fontId="12" fillId="0" borderId="0" xfId="1" applyNumberFormat="1" applyFont="1" applyAlignment="1">
      <alignment horizontal="center"/>
    </xf>
    <xf numFmtId="1" fontId="10" fillId="0" borderId="0" xfId="1" applyNumberFormat="1" applyFont="1" applyAlignment="1">
      <alignment horizontal="right"/>
    </xf>
    <xf numFmtId="4" fontId="10" fillId="0" borderId="0" xfId="1" applyNumberFormat="1" applyFont="1" applyAlignment="1">
      <alignment horizontal="right"/>
    </xf>
    <xf numFmtId="40" fontId="10" fillId="0" borderId="0" xfId="1" applyNumberFormat="1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6" fillId="0" borderId="2" xfId="1" applyNumberFormat="1" applyFont="1" applyBorder="1" applyAlignment="1">
      <alignment vertical="center"/>
    </xf>
    <xf numFmtId="4" fontId="6" fillId="0" borderId="2" xfId="1" applyNumberFormat="1" applyFont="1" applyBorder="1" applyAlignment="1">
      <alignment vertical="center"/>
    </xf>
    <xf numFmtId="40" fontId="7" fillId="0" borderId="4" xfId="1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164" fontId="6" fillId="0" borderId="2" xfId="2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horizontal="center"/>
    </xf>
    <xf numFmtId="164" fontId="11" fillId="0" borderId="0" xfId="1" applyNumberFormat="1" applyFont="1" applyAlignment="1">
      <alignment horizontal="center"/>
    </xf>
    <xf numFmtId="1" fontId="6" fillId="0" borderId="0" xfId="1" applyNumberFormat="1" applyFont="1" applyAlignment="1">
      <alignment horizontal="right"/>
    </xf>
    <xf numFmtId="4" fontId="6" fillId="0" borderId="0" xfId="1" applyNumberFormat="1" applyFont="1" applyAlignment="1">
      <alignment horizontal="right"/>
    </xf>
    <xf numFmtId="40" fontId="6" fillId="0" borderId="0" xfId="1" applyNumberFormat="1" applyFont="1" applyAlignment="1">
      <alignment horizontal="right"/>
    </xf>
    <xf numFmtId="0" fontId="15" fillId="0" borderId="0" xfId="0" applyFont="1" applyAlignment="1">
      <alignment horizontal="center"/>
    </xf>
    <xf numFmtId="4" fontId="15" fillId="0" borderId="0" xfId="1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" fontId="13" fillId="0" borderId="0" xfId="1" applyNumberFormat="1" applyFont="1" applyAlignment="1">
      <alignment horizontal="right"/>
    </xf>
    <xf numFmtId="4" fontId="13" fillId="0" borderId="0" xfId="1" applyNumberFormat="1" applyFont="1" applyAlignment="1">
      <alignment horizontal="right"/>
    </xf>
    <xf numFmtId="40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left"/>
    </xf>
    <xf numFmtId="0" fontId="13" fillId="0" borderId="0" xfId="0" applyFont="1"/>
    <xf numFmtId="0" fontId="16" fillId="0" borderId="0" xfId="0" applyFont="1"/>
    <xf numFmtId="0" fontId="13" fillId="2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" fontId="13" fillId="2" borderId="1" xfId="2" applyNumberFormat="1" applyFont="1" applyFill="1" applyBorder="1" applyAlignment="1">
      <alignment horizontal="center" vertical="center"/>
    </xf>
    <xf numFmtId="4" fontId="13" fillId="2" borderId="1" xfId="2" applyNumberFormat="1" applyFont="1" applyFill="1" applyBorder="1" applyAlignment="1">
      <alignment horizontal="center" vertical="center"/>
    </xf>
    <xf numFmtId="40" fontId="13" fillId="2" borderId="1" xfId="2" applyNumberFormat="1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7" fillId="0" borderId="5" xfId="0" applyFont="1" applyBorder="1"/>
    <xf numFmtId="4" fontId="17" fillId="0" borderId="7" xfId="2" applyNumberFormat="1" applyFont="1" applyBorder="1" applyAlignment="1"/>
    <xf numFmtId="0" fontId="17" fillId="0" borderId="5" xfId="0" applyFont="1" applyBorder="1" applyAlignment="1">
      <alignment horizontal="right"/>
    </xf>
    <xf numFmtId="0" fontId="13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1" fontId="6" fillId="0" borderId="9" xfId="2" applyNumberFormat="1" applyFont="1" applyBorder="1" applyAlignment="1">
      <alignment horizontal="right"/>
    </xf>
    <xf numFmtId="40" fontId="6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3" fillId="0" borderId="13" xfId="0" applyFont="1" applyBorder="1" applyAlignment="1">
      <alignment horizontal="center"/>
    </xf>
    <xf numFmtId="1" fontId="6" fillId="0" borderId="12" xfId="2" applyNumberFormat="1" applyFont="1" applyBorder="1" applyAlignment="1">
      <alignment horizontal="right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0" fontId="13" fillId="0" borderId="12" xfId="0" applyFont="1" applyBorder="1" applyAlignment="1">
      <alignment horizontal="center"/>
    </xf>
    <xf numFmtId="2" fontId="6" fillId="0" borderId="13" xfId="2" applyNumberFormat="1" applyFont="1" applyFill="1" applyBorder="1" applyAlignment="1">
      <alignment horizontal="right"/>
    </xf>
    <xf numFmtId="0" fontId="7" fillId="0" borderId="12" xfId="0" applyFont="1" applyBorder="1" applyAlignment="1">
      <alignment horizontal="center"/>
    </xf>
    <xf numFmtId="40" fontId="6" fillId="0" borderId="9" xfId="2" applyNumberFormat="1" applyFont="1" applyBorder="1" applyAlignment="1">
      <alignment horizontal="right" vertical="center"/>
    </xf>
    <xf numFmtId="1" fontId="6" fillId="0" borderId="9" xfId="2" applyNumberFormat="1" applyFont="1" applyFill="1" applyBorder="1" applyAlignment="1">
      <alignment horizontal="right"/>
    </xf>
    <xf numFmtId="0" fontId="7" fillId="0" borderId="9" xfId="0" applyFont="1" applyBorder="1" applyAlignment="1">
      <alignment horizontal="center"/>
    </xf>
    <xf numFmtId="0" fontId="20" fillId="0" borderId="10" xfId="0" applyFont="1" applyBorder="1"/>
    <xf numFmtId="40" fontId="6" fillId="0" borderId="10" xfId="0" applyNumberFormat="1" applyFont="1" applyBorder="1" applyAlignment="1">
      <alignment horizontal="right"/>
    </xf>
    <xf numFmtId="40" fontId="13" fillId="0" borderId="10" xfId="2" applyNumberFormat="1" applyFont="1" applyBorder="1" applyAlignment="1">
      <alignment horizontal="right" vertical="center"/>
    </xf>
    <xf numFmtId="0" fontId="7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13" fillId="0" borderId="18" xfId="0" applyFont="1" applyBorder="1" applyAlignment="1">
      <alignment horizontal="center"/>
    </xf>
    <xf numFmtId="1" fontId="6" fillId="0" borderId="15" xfId="2" applyNumberFormat="1" applyFont="1" applyFill="1" applyBorder="1" applyAlignment="1">
      <alignment horizontal="right"/>
    </xf>
    <xf numFmtId="0" fontId="6" fillId="0" borderId="15" xfId="0" applyFont="1" applyBorder="1" applyAlignment="1">
      <alignment horizontal="center"/>
    </xf>
    <xf numFmtId="40" fontId="6" fillId="0" borderId="19" xfId="0" applyNumberFormat="1" applyFont="1" applyBorder="1" applyAlignment="1">
      <alignment horizontal="right"/>
    </xf>
    <xf numFmtId="40" fontId="13" fillId="0" borderId="19" xfId="2" applyNumberFormat="1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" fontId="6" fillId="0" borderId="5" xfId="2" applyNumberFormat="1" applyFont="1" applyBorder="1" applyAlignment="1">
      <alignment horizontal="right"/>
    </xf>
    <xf numFmtId="40" fontId="6" fillId="0" borderId="5" xfId="0" applyNumberFormat="1" applyFont="1" applyBorder="1" applyAlignment="1">
      <alignment horizontal="right"/>
    </xf>
    <xf numFmtId="40" fontId="6" fillId="0" borderId="20" xfId="0" applyNumberFormat="1" applyFont="1" applyBorder="1" applyAlignment="1">
      <alignment horizontal="right"/>
    </xf>
    <xf numFmtId="4" fontId="6" fillId="0" borderId="13" xfId="0" applyNumberFormat="1" applyFont="1" applyBorder="1" applyAlignment="1">
      <alignment horizontal="right"/>
    </xf>
    <xf numFmtId="40" fontId="6" fillId="0" borderId="13" xfId="2" applyNumberFormat="1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1" fontId="6" fillId="0" borderId="20" xfId="2" applyNumberFormat="1" applyFont="1" applyFill="1" applyBorder="1" applyAlignment="1">
      <alignment horizontal="right"/>
    </xf>
    <xf numFmtId="0" fontId="7" fillId="0" borderId="22" xfId="0" applyFont="1" applyBorder="1" applyAlignment="1">
      <alignment horizontal="center"/>
    </xf>
    <xf numFmtId="4" fontId="6" fillId="0" borderId="9" xfId="0" applyNumberFormat="1" applyFont="1" applyBorder="1" applyAlignment="1">
      <alignment horizontal="right"/>
    </xf>
    <xf numFmtId="0" fontId="6" fillId="0" borderId="23" xfId="0" applyFont="1" applyBorder="1"/>
    <xf numFmtId="4" fontId="23" fillId="0" borderId="9" xfId="0" applyNumberFormat="1" applyFont="1" applyBorder="1"/>
    <xf numFmtId="40" fontId="6" fillId="0" borderId="21" xfId="2" applyNumberFormat="1" applyFont="1" applyBorder="1" applyAlignment="1">
      <alignment horizontal="right" vertical="center"/>
    </xf>
    <xf numFmtId="0" fontId="6" fillId="0" borderId="24" xfId="0" applyFont="1" applyBorder="1"/>
    <xf numFmtId="0" fontId="6" fillId="0" borderId="25" xfId="0" applyFont="1" applyBorder="1"/>
    <xf numFmtId="0" fontId="6" fillId="0" borderId="24" xfId="0" applyFont="1" applyBorder="1" applyAlignment="1">
      <alignment horizontal="center"/>
    </xf>
    <xf numFmtId="40" fontId="6" fillId="0" borderId="15" xfId="0" applyNumberFormat="1" applyFont="1" applyBorder="1" applyAlignment="1">
      <alignment horizontal="right"/>
    </xf>
    <xf numFmtId="40" fontId="13" fillId="0" borderId="15" xfId="2" applyNumberFormat="1" applyFont="1" applyBorder="1" applyAlignment="1">
      <alignment horizontal="right" vertical="center"/>
    </xf>
    <xf numFmtId="0" fontId="13" fillId="0" borderId="19" xfId="0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2" xfId="0" applyFont="1" applyBorder="1" applyAlignment="1">
      <alignment horizontal="right" vertical="center" wrapText="1"/>
    </xf>
    <xf numFmtId="0" fontId="13" fillId="0" borderId="4" xfId="0" applyFont="1" applyBorder="1" applyAlignment="1">
      <alignment horizontal="right" vertical="center" wrapText="1"/>
    </xf>
    <xf numFmtId="40" fontId="24" fillId="0" borderId="19" xfId="0" applyNumberFormat="1" applyFont="1" applyBorder="1"/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right" vertical="center" wrapText="1"/>
    </xf>
    <xf numFmtId="0" fontId="24" fillId="0" borderId="1" xfId="0" applyFont="1" applyBorder="1"/>
    <xf numFmtId="0" fontId="13" fillId="0" borderId="3" xfId="0" applyFont="1" applyBorder="1" applyAlignment="1">
      <alignment horizontal="right" vertical="center" wrapText="1"/>
    </xf>
    <xf numFmtId="40" fontId="24" fillId="0" borderId="1" xfId="0" applyNumberFormat="1" applyFont="1" applyBorder="1"/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0" fontId="10" fillId="0" borderId="0" xfId="2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6" fillId="0" borderId="0" xfId="2" applyNumberFormat="1" applyFont="1" applyAlignment="1">
      <alignment horizontal="right" vertical="center"/>
    </xf>
    <xf numFmtId="40" fontId="6" fillId="0" borderId="0" xfId="2" applyNumberFormat="1" applyFont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6" fillId="0" borderId="0" xfId="0" applyFont="1" applyAlignment="1">
      <alignment horizontal="center"/>
    </xf>
    <xf numFmtId="0" fontId="0" fillId="0" borderId="0" xfId="0"/>
    <xf numFmtId="0" fontId="27" fillId="0" borderId="0" xfId="0" applyFont="1" applyAlignment="1">
      <alignment horizontal="left" vertical="center" indent="3"/>
    </xf>
    <xf numFmtId="0" fontId="27" fillId="0" borderId="0" xfId="0" applyFont="1" applyAlignment="1">
      <alignment horizontal="left" vertical="center" indent="3"/>
    </xf>
    <xf numFmtId="40" fontId="7" fillId="0" borderId="0" xfId="2" applyNumberFormat="1" applyFont="1" applyAlignment="1">
      <alignment horizontal="right"/>
    </xf>
    <xf numFmtId="0" fontId="27" fillId="0" borderId="0" xfId="0" applyFont="1" applyAlignment="1">
      <alignment horizontal="left" vertical="center" indent="4"/>
    </xf>
    <xf numFmtId="0" fontId="27" fillId="0" borderId="0" xfId="0" applyFont="1" applyAlignment="1">
      <alignment horizontal="left" vertical="center" indent="4"/>
    </xf>
    <xf numFmtId="0" fontId="7" fillId="0" borderId="0" xfId="0" applyFont="1"/>
    <xf numFmtId="0" fontId="7" fillId="0" borderId="0" xfId="0" applyFont="1"/>
    <xf numFmtId="0" fontId="28" fillId="0" borderId="0" xfId="0" applyFont="1" applyAlignment="1">
      <alignment horizontal="left" vertical="center" indent="3"/>
    </xf>
    <xf numFmtId="0" fontId="28" fillId="0" borderId="0" xfId="0" applyFont="1" applyAlignment="1">
      <alignment horizontal="left" vertical="center" indent="3"/>
    </xf>
    <xf numFmtId="0" fontId="29" fillId="0" borderId="0" xfId="0" applyFont="1"/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31" fillId="0" borderId="0" xfId="1" applyNumberFormat="1" applyFont="1" applyAlignment="1">
      <alignment horizontal="right" vertical="center"/>
    </xf>
    <xf numFmtId="40" fontId="31" fillId="0" borderId="0" xfId="1" applyNumberFormat="1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31" fillId="3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</cellXfs>
  <cellStyles count="3">
    <cellStyle name="Comma" xfId="1" builtinId="3"/>
    <cellStyle name="Comma 2" xfId="2" xr:uid="{802BDC3C-6DAB-41AE-9576-3348D4EFE82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171450</xdr:rowOff>
    </xdr:from>
    <xdr:to>
      <xdr:col>2</xdr:col>
      <xdr:colOff>1495425</xdr:colOff>
      <xdr:row>5</xdr:row>
      <xdr:rowOff>57150</xdr:rowOff>
    </xdr:to>
    <xdr:pic>
      <xdr:nvPicPr>
        <xdr:cNvPr id="2" name="Picture 3" descr="Mikro Logo.jpg">
          <a:extLst>
            <a:ext uri="{FF2B5EF4-FFF2-40B4-BE49-F238E27FC236}">
              <a16:creationId xmlns:a16="http://schemas.microsoft.com/office/drawing/2014/main" id="{0A4D1FD2-2A04-4D9A-8518-41A1E4DCC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71450"/>
          <a:ext cx="2867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552450</xdr:colOff>
      <xdr:row>101</xdr:row>
      <xdr:rowOff>28575</xdr:rowOff>
    </xdr:from>
    <xdr:to>
      <xdr:col>2</xdr:col>
      <xdr:colOff>1101135</xdr:colOff>
      <xdr:row>104</xdr:row>
      <xdr:rowOff>166056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CFC7CE8-DF68-4128-91C0-D5100960865F}"/>
                </a:ext>
              </a:extLst>
            </xdr14:cNvPr>
            <xdr14:cNvContentPartPr/>
          </xdr14:nvContentPartPr>
          <xdr14:nvPr macro=""/>
          <xdr14:xfrm>
            <a:off x="962025" y="24069675"/>
            <a:ext cx="1615485" cy="651831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81F05C38-97B0-443F-B237-1F463D3642F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55906" y="24063556"/>
              <a:ext cx="1627724" cy="6640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571500</xdr:colOff>
      <xdr:row>100</xdr:row>
      <xdr:rowOff>161925</xdr:rowOff>
    </xdr:from>
    <xdr:to>
      <xdr:col>6</xdr:col>
      <xdr:colOff>1314450</xdr:colOff>
      <xdr:row>104</xdr:row>
      <xdr:rowOff>95250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B49D0527-089B-41DA-9713-C1AF40CCB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22412325"/>
          <a:ext cx="1524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01:17:24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1089 395 24575,'-55'116'0,"-98"157"0,134-241 0,-302 466 0,195-308 0,-39 49 0,-70 115 0,222-331 0,13-23 0,0 0 0,0 0 0,-1 0 0,1 0 0,0 0 0,0 0 0,0 1 0,0-1 0,0 0 0,0 0 0,0 0 0,-1 0 0,1 2 0,0-2 0,0 0 0,0 0 0,0 0 0,0 0 0,0 1 0,0-1 0,0 0 0,0 0 0,0 0 0,0 3 0,0-3 0,0 0 0,0 0 0,0 0 0,0 0 0,0 0 0,0 0 0,0 0 0,1 0 0,-1 0 0,0 1 0,0-1 0,0 0 0,0 0 0,0 0 0,0 0 0,0 0 0,1 0 0,-1 0 0,0 0 0,0 0 0,0 0 0,0 0 0,29-14 0,149-123 0,-16 10 0,40-14-286,58-24-857,1869-1066-2155,-2078 1202 3245,-37 19 50,2 1 0,0-1 0,1 5 1,-1-3-1,23-1 0,-29 12 33,-11 7 179,-5 3-35,-1-3 1,0 2 0,-1-1-1,1-2 1,-1 0-1,2 0 1,-17 12 0,7-4 94,-218 208 2132,-335 238-2354,521-426 124,-193 128 102,232-164-273,13-12 0,14-16 0,-13 21 0,10-17 0,2 1 0,0 0 0,1 3 0,0 0 0,0 3 0,3-1 0,-2 4 0,24-16 0,-41 29 0,1-1 0,0 1 0,-2-1 0,2 1 0,-1 0 0,1 0 0,-1 1 0,0-1 0,3 1 0,17 2 0,1-13 0,-1 0 0,0 1 0,0-5 0,-1 0 0,31-28 0,-9 9 0,-3 0 0,-7 8 0,63-36 0,-91 60 0,-1-2 0,-1 3 0,0 0 0,2 0 0,-2-1 0,2 1 0,-1 1 0,-1-1 0,1 0 0,1 0 0,-2 3 0,1-1 0,-1 0 0,1 1 0,0-1 0,-1-1 0,7 9 0,28 12 0,-34-18 0,33 13 0,-34-16 0,0 3 0,-1-2 0,0-1 0,-1 3 0,0-2 0,2 1 0,-2 0 0,1 0 0,-1-2 0,1 3 0,-1 1 0,0-3 0,0 1 0,2 7 0,-2-8 0,0 0 0,-1 1 0,1-1 0,0-1 0,0 1 0,-1-1 0,1 1 0,0 0 0,0 0 0,0-1 0,0 2 0,1-2 0,1 0 0,-2 0 0,0-1 0,0 0 0,1 1 0,-1-1 0,1 2 0,-1-1 0,1-1 0,-1 0 0,0 2 0,1-2 0,0 0 0,0 0 0,-1 0 0,1-2 0,-1 2 0,0 0 0,2-3 0,10 1 0,-2-3 0,0 0 0,15-12 0,-12 8 0,18-8 0,2 1 0,0 2 0,-1 2 0,59-7 0,-77 17 0,2-2 0,-2-2 0,1-1 0,-1 0 0,29-21 0,-9 6 0,565-349 0,-431 271 0,245-139 0,-383 228 0,-30 11 0,-1 0 0,0 0 0,1 0 0,-1 1 0,1-1 0,-1 0 0,0 0 0,0 0 0,0 0 0,1 0 0,-1 1 0,0-1 0,0 0 0,0 0 0,0 2 0,1-2 0,-1 0 0,0 0 0,0 0 0,0 0 0,0 2 0,0-2 0,0 0 0,1 1 0,-1-1 0,0 0 0,0 1 0,0-1 0,0 0 0,0 0 0,1 0 0,-1 1 0,0-1 0,0 2 0,0-2 0,0 0 0,0 0 0,0 0 0,-1 2 0,1-2 0,0 1 0,0-1 0,0 0 0,0 1 0,0-1 0,-1 1 0,1-1 0,0 0 0,0 2 0,0-2 0,0 0 0,0 1 0,-10 23 0,9-22 0,-169 320 0,24-49 0,132-243-108,10-19-7,0-1 1,-1 0 0,0 0 0,-2-2-1,2 3 1,0-4 0,-2 3 0,1-2-1,-1-1 1,-7 7 0,0-6-6712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11BB-0A52-4220-ABF7-40FE980BCC43}">
  <dimension ref="A1:P109"/>
  <sheetViews>
    <sheetView tabSelected="1" topLeftCell="A103" workbookViewId="0">
      <selection activeCell="K16" sqref="K16"/>
    </sheetView>
  </sheetViews>
  <sheetFormatPr defaultRowHeight="15"/>
  <cols>
    <col min="1" max="1" width="5.85546875" customWidth="1"/>
    <col min="2" max="2" width="16" customWidth="1"/>
    <col min="3" max="3" width="26.7109375" customWidth="1"/>
    <col min="4" max="4" width="9" customWidth="1"/>
    <col min="5" max="6" width="11.7109375" customWidth="1"/>
    <col min="7" max="8" width="20.28515625" customWidth="1"/>
    <col min="11" max="11" width="15.28515625" customWidth="1"/>
  </cols>
  <sheetData>
    <row r="1" spans="1:8" ht="27">
      <c r="A1" s="1"/>
      <c r="B1" s="1"/>
      <c r="C1" s="1"/>
      <c r="D1" s="2" t="s">
        <v>0</v>
      </c>
      <c r="E1" s="3"/>
      <c r="F1" s="4"/>
      <c r="G1" s="5"/>
      <c r="H1" s="6"/>
    </row>
    <row r="2" spans="1:8" ht="16.5">
      <c r="A2" s="7"/>
      <c r="B2" s="7"/>
      <c r="C2" s="7"/>
      <c r="D2" s="8" t="s">
        <v>1</v>
      </c>
      <c r="E2" s="9"/>
      <c r="F2" s="10"/>
      <c r="G2" s="11"/>
      <c r="H2" s="12"/>
    </row>
    <row r="3" spans="1:8" ht="16.5">
      <c r="A3" s="1"/>
      <c r="B3" s="1"/>
      <c r="C3" s="1"/>
      <c r="D3" s="8" t="s">
        <v>2</v>
      </c>
      <c r="E3" s="9"/>
      <c r="F3" s="13"/>
      <c r="G3" s="14"/>
      <c r="H3" s="15"/>
    </row>
    <row r="4" spans="1:8" ht="16.5">
      <c r="A4" s="1"/>
      <c r="B4" s="1"/>
      <c r="C4" s="1"/>
      <c r="D4" s="8" t="s">
        <v>3</v>
      </c>
      <c r="E4" s="9"/>
      <c r="F4" s="13"/>
      <c r="G4" s="14" t="s">
        <v>4</v>
      </c>
      <c r="H4" s="15"/>
    </row>
    <row r="5" spans="1:8" ht="16.5">
      <c r="A5" s="16"/>
      <c r="B5" s="17"/>
      <c r="C5" s="17"/>
      <c r="D5" s="8" t="s">
        <v>5</v>
      </c>
      <c r="E5" s="9"/>
      <c r="F5" s="18"/>
      <c r="G5" s="19"/>
      <c r="H5" s="20"/>
    </row>
    <row r="6" spans="1:8" ht="16.5">
      <c r="A6" s="16"/>
      <c r="B6" s="17"/>
      <c r="C6" s="17"/>
      <c r="D6" s="21" t="s">
        <v>6</v>
      </c>
      <c r="E6" s="22"/>
      <c r="F6" s="18"/>
      <c r="G6" s="19"/>
      <c r="H6" s="20"/>
    </row>
    <row r="7" spans="1:8">
      <c r="A7" s="16"/>
      <c r="B7" s="17"/>
      <c r="C7" s="17"/>
      <c r="D7" s="17"/>
      <c r="E7" s="23"/>
      <c r="F7" s="24"/>
      <c r="G7" s="25"/>
      <c r="H7" s="26"/>
    </row>
    <row r="8" spans="1:8" ht="17.25">
      <c r="A8" s="27" t="s">
        <v>7</v>
      </c>
      <c r="B8" s="28" t="s">
        <v>93</v>
      </c>
      <c r="C8" s="28"/>
      <c r="D8" s="29"/>
      <c r="E8" s="30" t="s">
        <v>8</v>
      </c>
      <c r="F8" s="31" t="s">
        <v>93</v>
      </c>
      <c r="G8" s="32"/>
      <c r="H8" s="33"/>
    </row>
    <row r="9" spans="1:8" ht="17.25">
      <c r="A9" s="27" t="s">
        <v>9</v>
      </c>
      <c r="B9" s="28" t="s">
        <v>94</v>
      </c>
      <c r="C9" s="34"/>
      <c r="D9" s="29"/>
      <c r="E9" s="30" t="s">
        <v>10</v>
      </c>
      <c r="F9" s="35" t="s">
        <v>93</v>
      </c>
      <c r="G9" s="32"/>
      <c r="H9" s="33"/>
    </row>
    <row r="10" spans="1:8" ht="17.25">
      <c r="A10" s="27" t="s">
        <v>11</v>
      </c>
      <c r="B10" s="36" t="s">
        <v>93</v>
      </c>
      <c r="C10" s="28"/>
      <c r="D10" s="29"/>
      <c r="E10" s="30" t="s">
        <v>12</v>
      </c>
      <c r="F10" s="35" t="s">
        <v>93</v>
      </c>
      <c r="G10" s="32"/>
      <c r="H10" s="33"/>
    </row>
    <row r="11" spans="1:8" ht="17.25">
      <c r="A11" s="37"/>
      <c r="B11" s="6"/>
      <c r="C11" s="6"/>
      <c r="D11" s="6"/>
      <c r="E11" s="38"/>
      <c r="F11" s="39"/>
      <c r="G11" s="40"/>
      <c r="H11" s="41"/>
    </row>
    <row r="12" spans="1:8" ht="17.25" customHeight="1">
      <c r="A12" s="42" t="s">
        <v>13</v>
      </c>
      <c r="B12" s="42"/>
      <c r="C12" s="42"/>
      <c r="D12" s="42"/>
      <c r="E12" s="42"/>
      <c r="F12" s="42"/>
      <c r="G12" s="43"/>
      <c r="H12" s="42"/>
    </row>
    <row r="13" spans="1:8" ht="17.25">
      <c r="A13" s="44"/>
      <c r="B13" s="44"/>
      <c r="C13" s="44"/>
      <c r="D13" s="44"/>
      <c r="E13" s="45"/>
      <c r="F13" s="46"/>
      <c r="G13" s="47"/>
      <c r="H13" s="48"/>
    </row>
    <row r="14" spans="1:8" ht="17.25">
      <c r="A14" s="49" t="s">
        <v>95</v>
      </c>
      <c r="B14" s="50"/>
      <c r="C14" s="50"/>
      <c r="D14" s="44"/>
      <c r="E14" s="50"/>
      <c r="F14" s="8" t="s">
        <v>97</v>
      </c>
      <c r="H14" s="8"/>
    </row>
    <row r="15" spans="1:8" ht="17.25">
      <c r="A15" s="49" t="s">
        <v>96</v>
      </c>
      <c r="B15" s="51"/>
      <c r="C15" s="51"/>
      <c r="D15" s="44"/>
      <c r="E15" s="44"/>
      <c r="F15" s="4"/>
      <c r="G15" s="5"/>
      <c r="H15" s="6"/>
    </row>
    <row r="16" spans="1:8" ht="17.25">
      <c r="A16" s="52" t="s">
        <v>14</v>
      </c>
      <c r="B16" s="53" t="s">
        <v>15</v>
      </c>
      <c r="C16" s="54"/>
      <c r="D16" s="55"/>
      <c r="E16" s="56" t="s">
        <v>16</v>
      </c>
      <c r="F16" s="52" t="s">
        <v>17</v>
      </c>
      <c r="G16" s="57" t="s">
        <v>18</v>
      </c>
      <c r="H16" s="58" t="s">
        <v>19</v>
      </c>
    </row>
    <row r="17" spans="1:8" ht="16.5">
      <c r="A17" s="59"/>
      <c r="B17" s="60"/>
      <c r="C17" s="61"/>
      <c r="D17" s="62"/>
      <c r="E17" s="63"/>
      <c r="F17" s="63"/>
      <c r="G17" s="64"/>
      <c r="H17" s="65" t="s">
        <v>20</v>
      </c>
    </row>
    <row r="18" spans="1:8" ht="20.25">
      <c r="A18" s="66">
        <v>1</v>
      </c>
      <c r="B18" s="67" t="s">
        <v>21</v>
      </c>
      <c r="C18" s="68"/>
      <c r="D18" s="69"/>
      <c r="E18" s="70"/>
      <c r="F18" s="71"/>
      <c r="G18" s="72"/>
      <c r="H18" s="72"/>
    </row>
    <row r="19" spans="1:8" ht="17.25">
      <c r="A19" s="66"/>
      <c r="B19" s="73" t="s">
        <v>22</v>
      </c>
      <c r="C19" s="74"/>
      <c r="D19" s="69"/>
      <c r="E19" s="75"/>
      <c r="F19" s="76"/>
      <c r="G19" s="72"/>
      <c r="H19" s="72"/>
    </row>
    <row r="20" spans="1:8" ht="17.25">
      <c r="A20" s="77"/>
      <c r="B20" s="78" t="s">
        <v>23</v>
      </c>
      <c r="C20" s="79"/>
      <c r="D20" s="80"/>
      <c r="E20" s="81"/>
      <c r="F20" s="82" t="s">
        <v>24</v>
      </c>
      <c r="G20" s="72"/>
      <c r="H20" s="83">
        <f>SUM(E20*G20)</f>
        <v>0</v>
      </c>
    </row>
    <row r="21" spans="1:8" ht="17.25">
      <c r="A21" s="77"/>
      <c r="B21" s="78" t="s">
        <v>25</v>
      </c>
      <c r="C21" s="79"/>
      <c r="D21" s="80"/>
      <c r="E21" s="84"/>
      <c r="F21" s="85" t="s">
        <v>26</v>
      </c>
      <c r="G21" s="72"/>
      <c r="H21" s="83">
        <f>E21*G21</f>
        <v>0</v>
      </c>
    </row>
    <row r="22" spans="1:8" ht="17.25">
      <c r="A22" s="77"/>
      <c r="B22" s="78" t="s">
        <v>27</v>
      </c>
      <c r="C22" s="79"/>
      <c r="D22" s="80"/>
      <c r="E22" s="84"/>
      <c r="F22" s="85" t="s">
        <v>26</v>
      </c>
      <c r="G22" s="72"/>
      <c r="H22" s="83">
        <f>E22*G22</f>
        <v>0</v>
      </c>
    </row>
    <row r="23" spans="1:8" ht="17.25">
      <c r="A23" s="77"/>
      <c r="B23" s="78" t="s">
        <v>28</v>
      </c>
      <c r="C23" s="79"/>
      <c r="D23" s="80"/>
      <c r="E23" s="84"/>
      <c r="F23" s="85" t="s">
        <v>26</v>
      </c>
      <c r="G23" s="72"/>
      <c r="H23" s="83">
        <f>E23*G23</f>
        <v>0</v>
      </c>
    </row>
    <row r="24" spans="1:8" ht="17.25">
      <c r="A24" s="77"/>
      <c r="B24" s="78" t="s">
        <v>29</v>
      </c>
      <c r="C24" s="79"/>
      <c r="D24" s="80"/>
      <c r="E24" s="84"/>
      <c r="F24" s="85" t="s">
        <v>30</v>
      </c>
      <c r="G24" s="72"/>
      <c r="H24" s="83">
        <f>E24*G24</f>
        <v>0</v>
      </c>
    </row>
    <row r="25" spans="1:8" ht="17.25">
      <c r="A25" s="77"/>
      <c r="B25" s="86" t="s">
        <v>31</v>
      </c>
      <c r="C25" s="79"/>
      <c r="D25" s="80"/>
      <c r="E25" s="84"/>
      <c r="F25" s="85"/>
      <c r="G25" s="87"/>
      <c r="H25" s="88"/>
    </row>
    <row r="26" spans="1:8" ht="20.25">
      <c r="A26" s="77"/>
      <c r="B26" s="78" t="s">
        <v>32</v>
      </c>
      <c r="C26" s="79"/>
      <c r="D26" s="80"/>
      <c r="E26" s="84"/>
      <c r="F26" s="85" t="s">
        <v>30</v>
      </c>
      <c r="G26" s="72"/>
      <c r="H26" s="83">
        <f>E26*G26</f>
        <v>0</v>
      </c>
    </row>
    <row r="27" spans="1:8" ht="17.25">
      <c r="A27" s="77"/>
      <c r="B27" s="78" t="s">
        <v>33</v>
      </c>
      <c r="C27" s="79"/>
      <c r="D27" s="80"/>
      <c r="E27" s="84"/>
      <c r="F27" s="89" t="s">
        <v>30</v>
      </c>
      <c r="G27" s="72"/>
      <c r="H27" s="83">
        <f>E27*G27</f>
        <v>0</v>
      </c>
    </row>
    <row r="28" spans="1:8" ht="17.25">
      <c r="A28" s="77"/>
      <c r="B28" s="78" t="s">
        <v>34</v>
      </c>
      <c r="C28" s="79"/>
      <c r="D28" s="80"/>
      <c r="E28" s="84"/>
      <c r="F28" s="85" t="s">
        <v>35</v>
      </c>
      <c r="G28" s="72"/>
      <c r="H28" s="83" t="s">
        <v>36</v>
      </c>
    </row>
    <row r="29" spans="1:8" ht="17.25">
      <c r="A29" s="90"/>
      <c r="B29" s="91"/>
      <c r="C29" s="92"/>
      <c r="D29" s="93"/>
      <c r="E29" s="94"/>
      <c r="F29" s="95"/>
      <c r="G29" s="96"/>
      <c r="H29" s="97">
        <f>SUM(H20:H28)</f>
        <v>0</v>
      </c>
    </row>
    <row r="30" spans="1:8" ht="20.25">
      <c r="A30" s="98">
        <v>2</v>
      </c>
      <c r="B30" s="99" t="s">
        <v>37</v>
      </c>
      <c r="C30" s="100"/>
      <c r="D30" s="101"/>
      <c r="E30" s="102"/>
      <c r="F30" s="103"/>
      <c r="G30" s="104"/>
      <c r="H30" s="104"/>
    </row>
    <row r="31" spans="1:8" ht="17.25">
      <c r="A31" s="66"/>
      <c r="B31" s="73" t="s">
        <v>38</v>
      </c>
      <c r="C31" s="74"/>
      <c r="D31" s="69"/>
      <c r="E31" s="75"/>
      <c r="F31" s="76"/>
      <c r="G31" s="72"/>
      <c r="H31" s="72"/>
    </row>
    <row r="32" spans="1:8" ht="17.25">
      <c r="A32" s="77"/>
      <c r="B32" s="78" t="s">
        <v>23</v>
      </c>
      <c r="C32" s="79"/>
      <c r="D32" s="80"/>
      <c r="E32" s="81"/>
      <c r="F32" s="82" t="s">
        <v>24</v>
      </c>
      <c r="G32" s="72"/>
      <c r="H32" s="83">
        <f>SUM(E32*G32)</f>
        <v>0</v>
      </c>
    </row>
    <row r="33" spans="1:8" ht="17.25">
      <c r="A33" s="77"/>
      <c r="B33" s="78" t="s">
        <v>25</v>
      </c>
      <c r="C33" s="79"/>
      <c r="D33" s="80"/>
      <c r="E33" s="84"/>
      <c r="F33" s="85" t="s">
        <v>26</v>
      </c>
      <c r="G33" s="72"/>
      <c r="H33" s="83">
        <f>E33*G33</f>
        <v>0</v>
      </c>
    </row>
    <row r="34" spans="1:8" ht="17.25">
      <c r="A34" s="77"/>
      <c r="B34" s="78" t="s">
        <v>27</v>
      </c>
      <c r="C34" s="79"/>
      <c r="D34" s="80"/>
      <c r="E34" s="84"/>
      <c r="F34" s="85" t="s">
        <v>26</v>
      </c>
      <c r="G34" s="72"/>
      <c r="H34" s="83">
        <f>E34*G34</f>
        <v>0</v>
      </c>
    </row>
    <row r="35" spans="1:8" ht="17.25">
      <c r="A35" s="77"/>
      <c r="B35" s="78" t="s">
        <v>39</v>
      </c>
      <c r="C35" s="79"/>
      <c r="D35" s="80"/>
      <c r="E35" s="84"/>
      <c r="F35" s="85" t="s">
        <v>26</v>
      </c>
      <c r="G35" s="72"/>
      <c r="H35" s="83">
        <f>E35*G35</f>
        <v>0</v>
      </c>
    </row>
    <row r="36" spans="1:8" ht="17.25">
      <c r="A36" s="77"/>
      <c r="B36" s="78" t="s">
        <v>29</v>
      </c>
      <c r="C36" s="79"/>
      <c r="D36" s="80"/>
      <c r="E36" s="84"/>
      <c r="F36" s="85" t="s">
        <v>30</v>
      </c>
      <c r="G36" s="72"/>
      <c r="H36" s="83">
        <f>E36*G36</f>
        <v>0</v>
      </c>
    </row>
    <row r="37" spans="1:8" ht="17.25">
      <c r="A37" s="77"/>
      <c r="B37" s="86" t="s">
        <v>31</v>
      </c>
      <c r="C37" s="79"/>
      <c r="D37" s="80"/>
      <c r="E37" s="84"/>
      <c r="F37" s="85"/>
      <c r="G37" s="72"/>
      <c r="H37" s="83"/>
    </row>
    <row r="38" spans="1:8" ht="20.25">
      <c r="A38" s="77"/>
      <c r="B38" s="78" t="s">
        <v>32</v>
      </c>
      <c r="C38" s="79"/>
      <c r="D38" s="80"/>
      <c r="E38" s="84"/>
      <c r="F38" s="85" t="s">
        <v>30</v>
      </c>
      <c r="G38" s="72"/>
      <c r="H38" s="83">
        <f>E38*G38</f>
        <v>0</v>
      </c>
    </row>
    <row r="39" spans="1:8" ht="17.25">
      <c r="A39" s="77"/>
      <c r="B39" s="78" t="s">
        <v>33</v>
      </c>
      <c r="C39" s="79"/>
      <c r="D39" s="80"/>
      <c r="E39" s="84"/>
      <c r="F39" s="85" t="s">
        <v>30</v>
      </c>
      <c r="G39" s="72"/>
      <c r="H39" s="83">
        <f>E39*G39</f>
        <v>0</v>
      </c>
    </row>
    <row r="40" spans="1:8" ht="17.25">
      <c r="A40" s="77"/>
      <c r="B40" s="78" t="s">
        <v>34</v>
      </c>
      <c r="C40" s="79"/>
      <c r="D40" s="80"/>
      <c r="E40" s="84"/>
      <c r="F40" s="85" t="s">
        <v>35</v>
      </c>
      <c r="G40" s="72"/>
      <c r="H40" s="83" t="s">
        <v>36</v>
      </c>
    </row>
    <row r="41" spans="1:8" ht="17.25">
      <c r="A41" s="90"/>
      <c r="B41" s="91"/>
      <c r="C41" s="92"/>
      <c r="D41" s="93"/>
      <c r="E41" s="94"/>
      <c r="F41" s="95"/>
      <c r="G41" s="96"/>
      <c r="H41" s="97">
        <f>SUM(H32:H40)</f>
        <v>0</v>
      </c>
    </row>
    <row r="42" spans="1:8" ht="20.25">
      <c r="A42" s="98">
        <v>3</v>
      </c>
      <c r="B42" s="99" t="s">
        <v>37</v>
      </c>
      <c r="C42" s="100"/>
      <c r="D42" s="101"/>
      <c r="E42" s="102"/>
      <c r="F42" s="103"/>
      <c r="G42" s="104"/>
      <c r="H42" s="104"/>
    </row>
    <row r="43" spans="1:8" ht="17.25">
      <c r="A43" s="66"/>
      <c r="B43" s="73" t="s">
        <v>40</v>
      </c>
      <c r="C43" s="74"/>
      <c r="D43" s="69"/>
      <c r="E43" s="75"/>
      <c r="F43" s="76"/>
      <c r="G43" s="72"/>
      <c r="H43" s="72"/>
    </row>
    <row r="44" spans="1:8" ht="17.25">
      <c r="A44" s="77"/>
      <c r="B44" s="78" t="s">
        <v>23</v>
      </c>
      <c r="C44" s="79"/>
      <c r="D44" s="80"/>
      <c r="E44" s="81"/>
      <c r="F44" s="82" t="s">
        <v>24</v>
      </c>
      <c r="G44" s="72"/>
      <c r="H44" s="83">
        <f>SUM(E44*G44)</f>
        <v>0</v>
      </c>
    </row>
    <row r="45" spans="1:8" ht="17.25">
      <c r="A45" s="77"/>
      <c r="B45" s="78" t="s">
        <v>25</v>
      </c>
      <c r="C45" s="79"/>
      <c r="D45" s="80"/>
      <c r="E45" s="84"/>
      <c r="F45" s="85" t="s">
        <v>26</v>
      </c>
      <c r="G45" s="72"/>
      <c r="H45" s="83">
        <f>E45*G45</f>
        <v>0</v>
      </c>
    </row>
    <row r="46" spans="1:8" ht="17.25">
      <c r="A46" s="77"/>
      <c r="B46" s="78" t="s">
        <v>27</v>
      </c>
      <c r="C46" s="79"/>
      <c r="D46" s="80"/>
      <c r="E46" s="84"/>
      <c r="F46" s="85" t="s">
        <v>26</v>
      </c>
      <c r="G46" s="72"/>
      <c r="H46" s="83">
        <f>E46*G46</f>
        <v>0</v>
      </c>
    </row>
    <row r="47" spans="1:8" ht="17.25">
      <c r="A47" s="77"/>
      <c r="B47" s="78" t="s">
        <v>39</v>
      </c>
      <c r="C47" s="79"/>
      <c r="D47" s="80"/>
      <c r="E47" s="84"/>
      <c r="F47" s="85" t="s">
        <v>26</v>
      </c>
      <c r="G47" s="72"/>
      <c r="H47" s="83">
        <f>E47*G47</f>
        <v>0</v>
      </c>
    </row>
    <row r="48" spans="1:8" ht="17.25">
      <c r="A48" s="77"/>
      <c r="B48" s="78" t="s">
        <v>29</v>
      </c>
      <c r="C48" s="79"/>
      <c r="D48" s="80"/>
      <c r="E48" s="84"/>
      <c r="F48" s="85" t="s">
        <v>30</v>
      </c>
      <c r="G48" s="72"/>
      <c r="H48" s="83">
        <f>E48*G48</f>
        <v>0</v>
      </c>
    </row>
    <row r="49" spans="1:8" ht="17.25">
      <c r="A49" s="77"/>
      <c r="B49" s="86" t="s">
        <v>31</v>
      </c>
      <c r="C49" s="79"/>
      <c r="D49" s="80"/>
      <c r="E49" s="84"/>
      <c r="F49" s="85"/>
      <c r="G49" s="72"/>
      <c r="H49" s="83"/>
    </row>
    <row r="50" spans="1:8" ht="20.25">
      <c r="A50" s="77"/>
      <c r="B50" s="78" t="s">
        <v>32</v>
      </c>
      <c r="C50" s="79"/>
      <c r="D50" s="80"/>
      <c r="E50" s="84"/>
      <c r="F50" s="85" t="s">
        <v>30</v>
      </c>
      <c r="G50" s="72"/>
      <c r="H50" s="83">
        <f>E50*G50</f>
        <v>0</v>
      </c>
    </row>
    <row r="51" spans="1:8" ht="17.25">
      <c r="A51" s="77"/>
      <c r="B51" s="78" t="s">
        <v>33</v>
      </c>
      <c r="C51" s="79"/>
      <c r="D51" s="80"/>
      <c r="E51" s="84"/>
      <c r="F51" s="85" t="s">
        <v>30</v>
      </c>
      <c r="G51" s="72"/>
      <c r="H51" s="83">
        <f>E51*G51</f>
        <v>0</v>
      </c>
    </row>
    <row r="52" spans="1:8" ht="17.25">
      <c r="A52" s="77"/>
      <c r="B52" s="78" t="s">
        <v>34</v>
      </c>
      <c r="C52" s="79"/>
      <c r="D52" s="80"/>
      <c r="E52" s="84"/>
      <c r="F52" s="85" t="s">
        <v>35</v>
      </c>
      <c r="G52" s="72"/>
      <c r="H52" s="83" t="s">
        <v>36</v>
      </c>
    </row>
    <row r="53" spans="1:8" ht="17.25">
      <c r="A53" s="90"/>
      <c r="B53" s="91"/>
      <c r="C53" s="92"/>
      <c r="D53" s="93"/>
      <c r="E53" s="94"/>
      <c r="F53" s="95"/>
      <c r="G53" s="96"/>
      <c r="H53" s="97">
        <f>SUM(H44:H52)</f>
        <v>0</v>
      </c>
    </row>
    <row r="54" spans="1:8" ht="20.25">
      <c r="A54" s="98">
        <v>4</v>
      </c>
      <c r="B54" s="99" t="s">
        <v>41</v>
      </c>
      <c r="C54" s="100"/>
      <c r="D54" s="101"/>
      <c r="E54" s="102"/>
      <c r="F54" s="103"/>
      <c r="G54" s="104"/>
      <c r="H54" s="104"/>
    </row>
    <row r="55" spans="1:8" ht="17.25">
      <c r="A55" s="66"/>
      <c r="B55" s="73" t="s">
        <v>42</v>
      </c>
      <c r="C55" s="74"/>
      <c r="D55" s="69"/>
      <c r="E55" s="75"/>
      <c r="F55" s="76"/>
      <c r="G55" s="72"/>
      <c r="H55" s="72"/>
    </row>
    <row r="56" spans="1:8" ht="17.25">
      <c r="A56" s="77"/>
      <c r="B56" s="78" t="s">
        <v>43</v>
      </c>
      <c r="C56" s="79"/>
      <c r="D56" s="80"/>
      <c r="E56" s="81"/>
      <c r="F56" s="82" t="s">
        <v>24</v>
      </c>
      <c r="G56" s="72"/>
      <c r="H56" s="83">
        <f>SUM(E56*G56)</f>
        <v>0</v>
      </c>
    </row>
    <row r="57" spans="1:8" ht="17.25">
      <c r="A57" s="77"/>
      <c r="B57" s="78" t="s">
        <v>25</v>
      </c>
      <c r="C57" s="79"/>
      <c r="D57" s="80"/>
      <c r="E57" s="84"/>
      <c r="F57" s="85" t="s">
        <v>26</v>
      </c>
      <c r="G57" s="72"/>
      <c r="H57" s="83">
        <f t="shared" ref="H57:H63" si="0">E57*G57</f>
        <v>0</v>
      </c>
    </row>
    <row r="58" spans="1:8" ht="17.25">
      <c r="A58" s="77"/>
      <c r="B58" s="78" t="s">
        <v>44</v>
      </c>
      <c r="C58" s="79"/>
      <c r="D58" s="80"/>
      <c r="E58" s="84"/>
      <c r="F58" s="85" t="s">
        <v>4</v>
      </c>
      <c r="G58" s="72"/>
      <c r="H58" s="83">
        <f t="shared" si="0"/>
        <v>0</v>
      </c>
    </row>
    <row r="59" spans="1:8" ht="17.25">
      <c r="A59" s="77"/>
      <c r="B59" s="78" t="s">
        <v>27</v>
      </c>
      <c r="C59" s="79"/>
      <c r="D59" s="80"/>
      <c r="E59" s="84"/>
      <c r="F59" s="85" t="s">
        <v>26</v>
      </c>
      <c r="G59" s="72"/>
      <c r="H59" s="83">
        <f t="shared" si="0"/>
        <v>0</v>
      </c>
    </row>
    <row r="60" spans="1:8" ht="17.25">
      <c r="A60" s="77"/>
      <c r="B60" s="78" t="s">
        <v>28</v>
      </c>
      <c r="C60" s="79"/>
      <c r="D60" s="80"/>
      <c r="E60" s="84"/>
      <c r="F60" s="85" t="s">
        <v>26</v>
      </c>
      <c r="G60" s="72"/>
      <c r="H60" s="83">
        <f t="shared" si="0"/>
        <v>0</v>
      </c>
    </row>
    <row r="61" spans="1:8" ht="17.25">
      <c r="A61" s="77"/>
      <c r="B61" s="78" t="s">
        <v>45</v>
      </c>
      <c r="C61" s="79"/>
      <c r="D61" s="80"/>
      <c r="E61" s="84"/>
      <c r="F61" s="85" t="s">
        <v>30</v>
      </c>
      <c r="G61" s="72"/>
      <c r="H61" s="83">
        <f t="shared" si="0"/>
        <v>0</v>
      </c>
    </row>
    <row r="62" spans="1:8" ht="17.25">
      <c r="A62" s="77"/>
      <c r="B62" s="78" t="s">
        <v>46</v>
      </c>
      <c r="C62" s="79"/>
      <c r="D62" s="80"/>
      <c r="E62" s="84"/>
      <c r="F62" s="85" t="s">
        <v>30</v>
      </c>
      <c r="G62" s="72"/>
      <c r="H62" s="83">
        <f t="shared" si="0"/>
        <v>0</v>
      </c>
    </row>
    <row r="63" spans="1:8" ht="17.25">
      <c r="A63" s="77"/>
      <c r="B63" s="78" t="s">
        <v>47</v>
      </c>
      <c r="C63" s="79"/>
      <c r="D63" s="80"/>
      <c r="E63" s="84"/>
      <c r="F63" s="85" t="s">
        <v>26</v>
      </c>
      <c r="G63" s="72"/>
      <c r="H63" s="83">
        <f t="shared" si="0"/>
        <v>0</v>
      </c>
    </row>
    <row r="64" spans="1:8" ht="17.25">
      <c r="A64" s="77"/>
      <c r="B64" s="86" t="s">
        <v>31</v>
      </c>
      <c r="C64" s="79"/>
      <c r="D64" s="80"/>
      <c r="E64" s="84"/>
      <c r="F64" s="85"/>
      <c r="G64" s="87"/>
      <c r="H64" s="83"/>
    </row>
    <row r="65" spans="1:16" ht="17.25">
      <c r="A65" s="77"/>
      <c r="B65" s="78" t="s">
        <v>48</v>
      </c>
      <c r="C65" s="79"/>
      <c r="D65" s="80"/>
      <c r="E65" s="84"/>
      <c r="F65" s="85" t="s">
        <v>26</v>
      </c>
      <c r="G65" s="72"/>
      <c r="H65" s="83">
        <f>E65*G65</f>
        <v>0</v>
      </c>
    </row>
    <row r="66" spans="1:16" ht="17.25">
      <c r="A66" s="77"/>
      <c r="B66" s="78" t="s">
        <v>49</v>
      </c>
      <c r="C66" s="79"/>
      <c r="D66" s="80"/>
      <c r="E66" s="84"/>
      <c r="F66" s="85" t="s">
        <v>30</v>
      </c>
      <c r="G66" s="72"/>
      <c r="H66" s="83">
        <f>E66*G66</f>
        <v>0</v>
      </c>
    </row>
    <row r="67" spans="1:16" ht="17.25">
      <c r="A67" s="77"/>
      <c r="B67" s="78"/>
      <c r="C67" s="79"/>
      <c r="D67" s="80"/>
      <c r="E67" s="84"/>
      <c r="F67" s="85"/>
      <c r="G67" s="105"/>
      <c r="H67" s="83"/>
    </row>
    <row r="68" spans="1:16" ht="20.25">
      <c r="A68" s="77"/>
      <c r="B68" s="86" t="s">
        <v>50</v>
      </c>
      <c r="C68" s="79"/>
      <c r="D68" s="80"/>
      <c r="E68" s="84"/>
      <c r="F68" s="85"/>
      <c r="G68" s="72"/>
      <c r="H68" s="83"/>
    </row>
    <row r="69" spans="1:16" ht="17.25">
      <c r="A69" s="77"/>
      <c r="B69" s="78" t="s">
        <v>51</v>
      </c>
      <c r="C69" s="79"/>
      <c r="D69" s="80"/>
      <c r="E69" s="84"/>
      <c r="F69" s="85" t="s">
        <v>26</v>
      </c>
      <c r="G69" s="106"/>
      <c r="H69" s="107">
        <f>E69*G69</f>
        <v>0</v>
      </c>
    </row>
    <row r="70" spans="1:16" ht="17.25">
      <c r="A70" s="108"/>
      <c r="B70" s="78" t="s">
        <v>52</v>
      </c>
      <c r="C70" s="79"/>
      <c r="D70" s="109"/>
      <c r="E70" s="110"/>
      <c r="F70" s="111" t="s">
        <v>26</v>
      </c>
      <c r="G70" s="112"/>
      <c r="H70" s="83">
        <f>SUM(G70*E70)</f>
        <v>0</v>
      </c>
    </row>
    <row r="71" spans="1:16" ht="17.25">
      <c r="A71" s="108"/>
      <c r="B71" s="113" t="s">
        <v>53</v>
      </c>
      <c r="C71" s="6"/>
      <c r="D71" s="109"/>
      <c r="E71" s="110"/>
      <c r="F71" s="111" t="s">
        <v>26</v>
      </c>
      <c r="G71" s="114"/>
      <c r="H71" s="115">
        <f>SUM(G71*E71)</f>
        <v>0</v>
      </c>
    </row>
    <row r="72" spans="1:16" ht="17.25">
      <c r="A72" s="90"/>
      <c r="B72" s="116"/>
      <c r="C72" s="117"/>
      <c r="D72" s="93"/>
      <c r="E72" s="94"/>
      <c r="F72" s="118"/>
      <c r="G72" s="119"/>
      <c r="H72" s="120">
        <f>SUM(H56:H71)</f>
        <v>0</v>
      </c>
    </row>
    <row r="73" spans="1:16" ht="17.25">
      <c r="A73" s="121"/>
      <c r="B73" s="122"/>
      <c r="C73" s="122"/>
      <c r="D73" s="122"/>
      <c r="E73" s="122"/>
      <c r="F73" s="123" t="s">
        <v>54</v>
      </c>
      <c r="G73" s="124"/>
      <c r="H73" s="125">
        <f>SUM(H72,H53,H41,H29,)</f>
        <v>0</v>
      </c>
    </row>
    <row r="74" spans="1:16" ht="15.75" customHeight="1">
      <c r="A74" s="126"/>
      <c r="B74" s="127"/>
      <c r="C74" s="127"/>
      <c r="D74" s="127"/>
      <c r="E74" s="127"/>
      <c r="F74" s="127"/>
      <c r="G74" s="128" t="s">
        <v>55</v>
      </c>
      <c r="H74" s="129">
        <f>SUM(H73*10%)</f>
        <v>0</v>
      </c>
    </row>
    <row r="75" spans="1:16" ht="17.25">
      <c r="A75" s="126"/>
      <c r="B75" s="130" t="s">
        <v>56</v>
      </c>
      <c r="C75" s="123"/>
      <c r="D75" s="123"/>
      <c r="E75" s="123"/>
      <c r="F75" s="123"/>
      <c r="G75" s="124"/>
      <c r="H75" s="131">
        <f>SUM(H73,H74)</f>
        <v>0</v>
      </c>
    </row>
    <row r="77" spans="1:16" ht="18.75">
      <c r="B77" s="132" t="s">
        <v>57</v>
      </c>
      <c r="C77" s="133" t="s">
        <v>58</v>
      </c>
      <c r="D77" s="133"/>
      <c r="E77" s="133"/>
      <c r="F77" s="133"/>
      <c r="G77" s="133"/>
      <c r="H77" s="134"/>
      <c r="K77" s="152" t="s">
        <v>98</v>
      </c>
    </row>
    <row r="78" spans="1:16" ht="17.25">
      <c r="B78" s="132" t="s">
        <v>59</v>
      </c>
      <c r="C78" s="133" t="s">
        <v>60</v>
      </c>
      <c r="D78" s="135"/>
      <c r="E78" s="136"/>
      <c r="F78" s="137"/>
      <c r="G78" s="138"/>
      <c r="H78" s="134"/>
    </row>
    <row r="79" spans="1:16" ht="20.25">
      <c r="B79" s="132" t="s">
        <v>61</v>
      </c>
      <c r="C79" s="133" t="s">
        <v>62</v>
      </c>
      <c r="D79" s="135"/>
      <c r="E79" s="136"/>
      <c r="F79" s="137"/>
      <c r="G79" s="138"/>
      <c r="H79" s="134"/>
      <c r="K79" s="153" t="s">
        <v>99</v>
      </c>
      <c r="L79" s="154"/>
      <c r="M79" s="154"/>
      <c r="N79" s="154"/>
      <c r="O79" s="154"/>
      <c r="P79" s="154"/>
    </row>
    <row r="80" spans="1:16" ht="17.25">
      <c r="B80" s="132" t="s">
        <v>63</v>
      </c>
      <c r="C80" s="133" t="s">
        <v>64</v>
      </c>
      <c r="D80" s="135"/>
      <c r="E80" s="136"/>
      <c r="F80" s="137"/>
      <c r="G80" s="138"/>
      <c r="H80" s="134"/>
      <c r="K80" s="155"/>
      <c r="L80" s="155"/>
      <c r="M80" s="155"/>
      <c r="N80" s="155"/>
      <c r="O80" s="155"/>
      <c r="P80" s="155"/>
    </row>
    <row r="81" spans="2:16" ht="20.25">
      <c r="B81" s="132" t="s">
        <v>65</v>
      </c>
      <c r="C81" s="133" t="s">
        <v>66</v>
      </c>
      <c r="D81" s="135"/>
      <c r="E81" s="136"/>
      <c r="F81" s="137"/>
      <c r="G81" s="138"/>
      <c r="H81" s="134"/>
      <c r="K81" s="156" t="s">
        <v>57</v>
      </c>
      <c r="L81" s="157" t="s">
        <v>100</v>
      </c>
      <c r="M81" s="157"/>
      <c r="N81" s="157"/>
      <c r="O81" s="157"/>
      <c r="P81" s="157"/>
    </row>
    <row r="82" spans="2:16" ht="17.25">
      <c r="B82" s="133"/>
      <c r="C82" s="133" t="s">
        <v>67</v>
      </c>
      <c r="D82" s="133"/>
      <c r="E82" s="133"/>
      <c r="F82" s="133"/>
      <c r="G82" s="133"/>
      <c r="H82" s="134"/>
      <c r="K82" s="156" t="s">
        <v>59</v>
      </c>
      <c r="L82" s="157" t="s">
        <v>101</v>
      </c>
      <c r="M82" s="158"/>
      <c r="N82" s="159"/>
      <c r="O82" s="160"/>
      <c r="P82" s="161"/>
    </row>
    <row r="83" spans="2:16" ht="17.25">
      <c r="B83" s="133"/>
      <c r="C83" s="133"/>
      <c r="D83" s="133"/>
      <c r="E83" s="133"/>
      <c r="F83" s="133"/>
      <c r="G83" s="133"/>
      <c r="H83" s="134"/>
      <c r="K83" s="156" t="s">
        <v>61</v>
      </c>
      <c r="L83" s="157" t="s">
        <v>62</v>
      </c>
      <c r="M83" s="158"/>
      <c r="N83" s="159"/>
      <c r="O83" s="160"/>
      <c r="P83" s="161"/>
    </row>
    <row r="84" spans="2:16" ht="20.25">
      <c r="B84" s="139" t="s">
        <v>68</v>
      </c>
      <c r="C84" s="140"/>
      <c r="D84" s="140"/>
      <c r="E84" s="140"/>
      <c r="F84" s="140"/>
      <c r="G84" s="140"/>
      <c r="H84" s="134"/>
      <c r="K84" s="156" t="s">
        <v>63</v>
      </c>
      <c r="L84" s="157" t="s">
        <v>64</v>
      </c>
      <c r="M84" s="158"/>
      <c r="N84" s="159"/>
      <c r="O84" s="160"/>
      <c r="P84" s="161"/>
    </row>
    <row r="85" spans="2:16" ht="18">
      <c r="B85" s="140" t="s">
        <v>69</v>
      </c>
      <c r="C85" s="140"/>
      <c r="D85" s="140"/>
      <c r="E85" s="140"/>
      <c r="F85" s="140"/>
      <c r="G85" s="140"/>
      <c r="H85" s="134"/>
      <c r="K85" s="156" t="s">
        <v>65</v>
      </c>
      <c r="L85" s="157" t="s">
        <v>102</v>
      </c>
      <c r="M85" s="158"/>
      <c r="N85" s="159"/>
      <c r="O85" s="160"/>
      <c r="P85" s="161"/>
    </row>
    <row r="86" spans="2:16" ht="17.25">
      <c r="B86" s="140" t="s">
        <v>70</v>
      </c>
      <c r="C86" s="140"/>
      <c r="D86" s="140"/>
      <c r="E86" s="140"/>
      <c r="F86" s="140"/>
      <c r="G86" s="140"/>
      <c r="H86" s="134"/>
      <c r="K86" s="157"/>
      <c r="L86" s="157" t="s">
        <v>67</v>
      </c>
      <c r="M86" s="157"/>
      <c r="N86" s="157"/>
      <c r="O86" s="157"/>
      <c r="P86" s="157"/>
    </row>
    <row r="87" spans="2:16" ht="17.25">
      <c r="B87" s="140" t="s">
        <v>71</v>
      </c>
      <c r="C87" s="140"/>
      <c r="D87" s="140"/>
      <c r="E87" s="140"/>
      <c r="F87" s="140"/>
      <c r="G87" s="140"/>
      <c r="H87" s="134"/>
      <c r="K87" s="154"/>
      <c r="L87" s="154"/>
      <c r="M87" s="154"/>
      <c r="N87" s="154"/>
      <c r="O87" s="154"/>
      <c r="P87" s="154"/>
    </row>
    <row r="88" spans="2:16" ht="18">
      <c r="B88" s="140" t="s">
        <v>72</v>
      </c>
      <c r="C88" s="140"/>
      <c r="D88" s="140"/>
      <c r="E88" s="140"/>
      <c r="F88" s="140"/>
      <c r="G88" s="140"/>
      <c r="H88" s="134"/>
      <c r="K88" s="162" t="s">
        <v>68</v>
      </c>
      <c r="L88" s="154"/>
      <c r="M88" s="154"/>
      <c r="N88" s="154"/>
      <c r="O88" s="154"/>
      <c r="P88" s="154"/>
    </row>
    <row r="89" spans="2:16" ht="17.25">
      <c r="B89" s="140" t="s">
        <v>73</v>
      </c>
      <c r="C89" s="140"/>
      <c r="D89" s="140"/>
      <c r="E89" s="140"/>
      <c r="F89" s="140"/>
      <c r="G89" s="140"/>
      <c r="H89" s="134"/>
      <c r="K89" s="154" t="s">
        <v>69</v>
      </c>
      <c r="L89" s="154"/>
      <c r="M89" s="154"/>
      <c r="N89" s="154"/>
      <c r="O89" s="154"/>
      <c r="P89" s="154"/>
    </row>
    <row r="90" spans="2:16" ht="17.25">
      <c r="B90" s="140" t="s">
        <v>74</v>
      </c>
      <c r="C90" s="140"/>
      <c r="D90" s="140"/>
      <c r="E90" s="140"/>
      <c r="F90" s="140"/>
      <c r="G90" s="140"/>
      <c r="H90" s="134"/>
      <c r="K90" s="154" t="s">
        <v>70</v>
      </c>
      <c r="L90" s="154"/>
      <c r="M90" s="154"/>
      <c r="N90" s="154"/>
      <c r="O90" s="154"/>
      <c r="P90" s="154"/>
    </row>
    <row r="91" spans="2:16" ht="17.25">
      <c r="B91" s="140" t="s">
        <v>75</v>
      </c>
      <c r="C91" s="140"/>
      <c r="D91" s="140"/>
      <c r="E91" s="140"/>
      <c r="F91" s="140"/>
      <c r="G91" s="140"/>
      <c r="H91" s="134"/>
      <c r="K91" s="163" t="s">
        <v>103</v>
      </c>
      <c r="L91" s="164"/>
      <c r="M91" s="164"/>
      <c r="N91" s="164"/>
      <c r="O91" s="164"/>
      <c r="P91" s="164"/>
    </row>
    <row r="92" spans="2:16" ht="17.25">
      <c r="B92" s="140" t="s">
        <v>76</v>
      </c>
      <c r="C92" s="140"/>
      <c r="D92" s="140"/>
      <c r="E92" s="140"/>
      <c r="F92" s="140"/>
      <c r="G92" s="140"/>
      <c r="H92" s="134"/>
      <c r="K92" s="154" t="s">
        <v>104</v>
      </c>
      <c r="L92" s="154"/>
      <c r="M92" s="154"/>
      <c r="N92" s="154"/>
      <c r="O92" s="154"/>
      <c r="P92" s="154"/>
    </row>
    <row r="93" spans="2:16" ht="17.25">
      <c r="B93" s="140" t="s">
        <v>77</v>
      </c>
      <c r="C93" s="140"/>
      <c r="D93" s="140"/>
      <c r="E93" s="140"/>
      <c r="F93" s="140"/>
      <c r="G93" s="140"/>
      <c r="H93" s="134"/>
      <c r="K93" s="154" t="s">
        <v>105</v>
      </c>
      <c r="L93" s="154"/>
      <c r="M93" s="154"/>
      <c r="N93" s="154"/>
      <c r="O93" s="154"/>
      <c r="P93" s="154"/>
    </row>
    <row r="94" spans="2:16" ht="17.25">
      <c r="B94" s="140" t="s">
        <v>78</v>
      </c>
      <c r="C94" s="140"/>
      <c r="D94" s="140"/>
      <c r="E94" s="140"/>
      <c r="F94" s="140"/>
      <c r="G94" s="140"/>
      <c r="H94" s="134"/>
      <c r="K94" s="154" t="s">
        <v>73</v>
      </c>
      <c r="L94" s="154"/>
      <c r="M94" s="154"/>
      <c r="N94" s="154"/>
      <c r="O94" s="154"/>
      <c r="P94" s="154"/>
    </row>
    <row r="95" spans="2:16" ht="17.25">
      <c r="B95" s="140" t="s">
        <v>79</v>
      </c>
      <c r="C95" s="140"/>
      <c r="D95" s="140"/>
      <c r="E95" s="140"/>
      <c r="F95" s="140"/>
      <c r="G95" s="140"/>
      <c r="H95" s="134"/>
      <c r="K95" s="154" t="s">
        <v>74</v>
      </c>
      <c r="L95" s="154"/>
      <c r="M95" s="165"/>
      <c r="N95" s="165"/>
      <c r="O95" s="165"/>
      <c r="P95" s="165"/>
    </row>
    <row r="96" spans="2:16" ht="17.25">
      <c r="B96" s="140" t="s">
        <v>80</v>
      </c>
      <c r="C96" s="140"/>
      <c r="D96" s="140"/>
      <c r="E96" s="140"/>
      <c r="F96" s="140"/>
      <c r="G96" s="140"/>
      <c r="H96" s="134"/>
      <c r="K96" s="154" t="s">
        <v>75</v>
      </c>
      <c r="L96" s="154"/>
      <c r="M96" s="154"/>
      <c r="N96" s="154"/>
      <c r="O96" s="154"/>
      <c r="P96" s="154"/>
    </row>
    <row r="97" spans="2:16" ht="15.75">
      <c r="K97" s="154" t="s">
        <v>106</v>
      </c>
      <c r="L97" s="154"/>
      <c r="M97" s="154"/>
      <c r="N97" s="154"/>
      <c r="O97" s="154"/>
      <c r="P97" s="154"/>
    </row>
    <row r="98" spans="2:16" ht="16.5">
      <c r="B98" s="51" t="s">
        <v>81</v>
      </c>
      <c r="C98" s="51"/>
      <c r="G98" s="51"/>
      <c r="H98" s="51"/>
      <c r="K98" s="154" t="s">
        <v>77</v>
      </c>
      <c r="L98" s="154"/>
      <c r="M98" s="154"/>
      <c r="N98" s="154"/>
      <c r="O98" s="154"/>
      <c r="P98" s="154"/>
    </row>
    <row r="99" spans="2:16">
      <c r="K99" s="154" t="s">
        <v>78</v>
      </c>
      <c r="L99" s="154"/>
      <c r="M99" s="154"/>
      <c r="N99" s="154"/>
      <c r="O99" s="154"/>
      <c r="P99" s="154"/>
    </row>
    <row r="100" spans="2:16" ht="16.5">
      <c r="B100" s="141" t="s">
        <v>82</v>
      </c>
      <c r="F100" s="141" t="s">
        <v>83</v>
      </c>
      <c r="K100" s="154" t="s">
        <v>79</v>
      </c>
      <c r="L100" s="154"/>
      <c r="M100" s="154"/>
      <c r="N100" s="154"/>
      <c r="O100" s="154"/>
      <c r="P100" s="154"/>
    </row>
    <row r="101" spans="2:16">
      <c r="B101" s="142"/>
      <c r="C101" s="142"/>
      <c r="K101" s="154" t="s">
        <v>80</v>
      </c>
      <c r="L101" s="154"/>
      <c r="M101" s="154"/>
      <c r="N101" s="154"/>
      <c r="O101" s="154"/>
      <c r="P101" s="154"/>
    </row>
    <row r="102" spans="2:16" ht="16.5">
      <c r="B102" s="143"/>
      <c r="C102" s="143"/>
      <c r="F102" s="144"/>
      <c r="G102" s="145"/>
      <c r="H102" s="145"/>
    </row>
    <row r="103" spans="2:16" ht="16.5">
      <c r="B103" s="146"/>
      <c r="C103" s="146"/>
      <c r="F103" s="147"/>
      <c r="G103" s="145"/>
      <c r="H103" s="145"/>
    </row>
    <row r="104" spans="2:16" ht="16.5">
      <c r="B104" s="148"/>
      <c r="C104" s="148"/>
      <c r="F104" s="149"/>
      <c r="G104" s="145"/>
      <c r="H104" s="145"/>
    </row>
    <row r="105" spans="2:16" ht="16.5">
      <c r="B105" s="143" t="s">
        <v>84</v>
      </c>
      <c r="C105" s="143"/>
      <c r="F105" s="144" t="s">
        <v>84</v>
      </c>
      <c r="G105" s="145"/>
      <c r="H105" s="145"/>
    </row>
    <row r="106" spans="2:16" ht="16.5">
      <c r="B106" s="150" t="s">
        <v>85</v>
      </c>
      <c r="C106" s="150"/>
      <c r="F106" s="151" t="s">
        <v>86</v>
      </c>
      <c r="G106" s="145"/>
      <c r="H106" s="145"/>
    </row>
    <row r="107" spans="2:16" ht="16.5">
      <c r="B107" s="143" t="s">
        <v>87</v>
      </c>
      <c r="C107" s="143"/>
      <c r="F107" s="144" t="s">
        <v>88</v>
      </c>
      <c r="G107" s="145"/>
      <c r="H107" s="145"/>
    </row>
    <row r="108" spans="2:16" ht="16.5">
      <c r="B108" s="143" t="s">
        <v>89</v>
      </c>
      <c r="C108" s="143"/>
      <c r="F108" s="144" t="s">
        <v>90</v>
      </c>
      <c r="G108" s="145"/>
      <c r="H108" s="145"/>
    </row>
    <row r="109" spans="2:16" ht="16.5">
      <c r="B109" s="143" t="s">
        <v>91</v>
      </c>
      <c r="C109" s="143"/>
      <c r="F109" s="144" t="s">
        <v>92</v>
      </c>
      <c r="G109" s="145"/>
      <c r="H109" s="145"/>
    </row>
  </sheetData>
  <mergeCells count="13">
    <mergeCell ref="B109:C109"/>
    <mergeCell ref="B103:C103"/>
    <mergeCell ref="B104:C104"/>
    <mergeCell ref="B105:C105"/>
    <mergeCell ref="B106:C106"/>
    <mergeCell ref="B107:C107"/>
    <mergeCell ref="B108:C108"/>
    <mergeCell ref="A12:H12"/>
    <mergeCell ref="B16:D16"/>
    <mergeCell ref="F73:G73"/>
    <mergeCell ref="B75:G75"/>
    <mergeCell ref="B101:C101"/>
    <mergeCell ref="B102:C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ferhad daniel</dc:creator>
  <cp:lastModifiedBy>ferhad daniel</cp:lastModifiedBy>
  <dcterms:created xsi:type="dcterms:W3CDTF">2026-06-24T01:17:01Z</dcterms:created>
  <dcterms:modified xsi:type="dcterms:W3CDTF">2026-06-24T01:29:34Z</dcterms:modified>
</cp:coreProperties>
</file>