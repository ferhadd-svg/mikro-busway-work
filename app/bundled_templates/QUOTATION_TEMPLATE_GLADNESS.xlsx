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3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sz val="12"/>
    </font>
    <font>
      <name val="Arial Unicode MS"/>
      <family val="2"/>
      <b val="1"/>
      <sz val="18"/>
      <u val="single"/>
    </font>
    <font>
      <name val="Arial Unicode MS"/>
      <family val="2"/>
      <b val="1"/>
      <sz val="12"/>
      <u val="single"/>
    </font>
    <font>
      <name val="Arial Unicode MS"/>
      <family val="2"/>
      <b val="1"/>
      <sz val="16"/>
      <u val="single"/>
    </font>
    <font>
      <name val="Arial Unicode MS"/>
      <family val="2"/>
      <sz val="12"/>
    </font>
    <font>
      <name val="Arial Unicode MS"/>
      <family val="2"/>
      <sz val="11"/>
    </font>
    <font>
      <name val="Arial Unicode MS"/>
      <family val="2"/>
      <sz val="10"/>
    </font>
    <font>
      <name val="Arial Unicode MS"/>
      <family val="2"/>
      <sz val="9"/>
    </font>
    <font>
      <name val="Times New Roman"/>
      <family val="1"/>
      <sz val="11"/>
    </font>
    <font>
      <name val="Arial Unicode MS"/>
      <family val="2"/>
      <b val="1"/>
      <sz val="10"/>
    </font>
    <font>
      <name val="Times New Roman"/>
      <family val="1"/>
      <b val="1"/>
      <sz val="10"/>
    </font>
    <font>
      <name val="Arial Unicode MS"/>
      <family val="2"/>
      <b val="1"/>
      <sz val="12"/>
    </font>
    <font>
      <name val="VNI-Times"/>
      <family val="2"/>
      <sz val="10"/>
    </font>
    <font>
      <name val="Arial Unicode MS"/>
      <family val="2"/>
      <b val="1"/>
      <sz val="14"/>
    </font>
    <font>
      <name val="Arial Unicode MS"/>
      <family val="2"/>
      <b val="1"/>
      <sz val="11"/>
    </font>
    <font>
      <name val="Arial Unicode MS"/>
      <family val="2"/>
      <b val="1"/>
      <sz val="11"/>
      <u val="single"/>
    </font>
    <font>
      <name val="Arial Unicode MS"/>
      <family val="2"/>
      <b val="1"/>
      <i val="1"/>
      <sz val="14"/>
      <u val="single"/>
    </font>
    <font>
      <name val="Arial Unicode MS"/>
      <family val="2"/>
      <sz val="12"/>
      <u val="single"/>
    </font>
    <font>
      <name val="Arial Unicode MS"/>
      <family val="2"/>
      <b val="1"/>
      <i val="1"/>
      <sz val="12"/>
      <u val="single"/>
    </font>
    <font>
      <name val="Arial Unicode MS"/>
      <family val="2"/>
      <sz val="14"/>
    </font>
    <font>
      <name val="Arial Unicode MS"/>
      <family val="2"/>
      <i val="1"/>
      <sz val="14"/>
      <u val="single"/>
    </font>
    <font>
      <name val="Arial Unicode MS"/>
      <family val="2"/>
      <color theme="1"/>
      <sz val="12"/>
    </font>
    <font>
      <name val="Arial Unicode MS"/>
      <family val="2"/>
      <b val="1"/>
      <color theme="1"/>
      <sz val="12"/>
    </font>
    <font>
      <name val="Arial Unicode MS"/>
      <family val="2"/>
      <b val="1"/>
      <sz val="14"/>
      <u val="single"/>
    </font>
    <font>
      <name val="Arial Unicode MS"/>
      <family val="2"/>
      <b val="1"/>
      <color theme="1"/>
      <sz val="11"/>
    </font>
    <font>
      <name val="Arial Unicode MS"/>
      <family val="2"/>
      <color rgb="FF000000"/>
      <sz val="11"/>
    </font>
    <font>
      <name val="Arial Unicode MS"/>
      <family val="2"/>
      <b val="1"/>
      <color rgb="FF000000"/>
      <sz val="11"/>
    </font>
    <font>
      <name val="Calibri"/>
      <family val="2"/>
      <color rgb="FFFF0000"/>
      <sz val="14"/>
      <scheme val="minor"/>
    </font>
    <font>
      <name val="Arial"/>
      <family val="2"/>
      <sz val="16"/>
      <u val="single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b val="1"/>
      <sz val="14"/>
    </font>
    <font>
      <name val="Arial"/>
      <family val="2"/>
      <b val="1"/>
      <sz val="14"/>
      <u val="single"/>
    </font>
    <font>
      <name val="Arial"/>
      <family val="2"/>
      <sz val="11"/>
    </font>
  </fonts>
  <fills count="4">
    <fill>
      <patternFill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43" fontId="14" fillId="0" borderId="0"/>
  </cellStyleXfs>
  <cellXfs count="16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right"/>
    </xf>
    <xf numFmtId="4" fontId="6" fillId="0" borderId="0" pivotButton="0" quotePrefix="0" xfId="1"/>
    <xf numFmtId="0" fontId="6" fillId="0" borderId="0" pivotButton="0" quotePrefix="0" xfId="0"/>
    <xf numFmtId="0" fontId="2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" fontId="9" fillId="0" borderId="0" applyAlignment="1" pivotButton="0" quotePrefix="0" xfId="0">
      <alignment horizontal="right" vertical="center"/>
    </xf>
    <xf numFmtId="4" fontId="9" fillId="0" borderId="0" applyAlignment="1" pivotButton="0" quotePrefix="0" xfId="1">
      <alignment vertical="center"/>
    </xf>
    <xf numFmtId="0" fontId="9" fillId="0" borderId="0" applyAlignment="1" pivotButton="0" quotePrefix="0" xfId="0">
      <alignment vertical="center"/>
    </xf>
    <xf numFmtId="1" fontId="9" fillId="0" borderId="0" applyAlignment="1" pivotButton="0" quotePrefix="0" xfId="0">
      <alignment horizontal="right"/>
    </xf>
    <xf numFmtId="4" fontId="9" fillId="0" borderId="0" pivotButton="0" quotePrefix="0" xfId="1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1" fontId="7" fillId="0" borderId="0" applyAlignment="1" pivotButton="0" quotePrefix="0" xfId="1">
      <alignment horizontal="right"/>
    </xf>
    <xf numFmtId="4" fontId="7" fillId="0" borderId="0" applyAlignment="1" pivotButton="0" quotePrefix="0" xfId="1">
      <alignment horizontal="right"/>
    </xf>
    <xf numFmtId="40" fontId="7" fillId="0" borderId="0" applyAlignment="1" pivotButton="0" quotePrefix="0" xfId="1">
      <alignment horizontal="right"/>
    </xf>
    <xf numFmtId="0" fontId="11" fillId="0" borderId="0" applyAlignment="1" pivotButton="0" quotePrefix="0" xfId="0">
      <alignment vertical="center"/>
    </xf>
    <xf numFmtId="0" fontId="11" fillId="0" borderId="0" pivotButton="0" quotePrefix="0" xfId="0"/>
    <xf numFmtId="164" fontId="12" fillId="0" borderId="0" applyAlignment="1" pivotButton="0" quotePrefix="0" xfId="1">
      <alignment horizontal="center"/>
    </xf>
    <xf numFmtId="1" fontId="10" fillId="0" borderId="0" applyAlignment="1" pivotButton="0" quotePrefix="0" xfId="1">
      <alignment horizontal="right"/>
    </xf>
    <xf numFmtId="4" fontId="10" fillId="0" borderId="0" applyAlignment="1" pivotButton="0" quotePrefix="0" xfId="1">
      <alignment horizontal="right"/>
    </xf>
    <xf numFmtId="40" fontId="10" fillId="0" borderId="0" applyAlignment="1" pivotButton="0" quotePrefix="0" xfId="1">
      <alignment horizontal="right"/>
    </xf>
    <xf numFmtId="0" fontId="7" fillId="0" borderId="1" applyAlignment="1" pivotButton="0" quotePrefix="0" xfId="0">
      <alignment horizontal="left" vertical="center"/>
    </xf>
    <xf numFmtId="0" fontId="6" fillId="0" borderId="2" applyAlignment="1" pivotButton="0" quotePrefix="0" xfId="0">
      <alignment vertical="center"/>
    </xf>
    <xf numFmtId="0" fontId="7" fillId="0" borderId="2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164" fontId="6" fillId="0" borderId="2" applyAlignment="1" pivotButton="0" quotePrefix="0" xfId="1">
      <alignment vertical="center"/>
    </xf>
    <xf numFmtId="4" fontId="6" fillId="0" borderId="2" applyAlignment="1" pivotButton="0" quotePrefix="0" xfId="1">
      <alignment vertical="center"/>
    </xf>
    <xf numFmtId="40" fontId="7" fillId="0" borderId="4" applyAlignment="1" pivotButton="0" quotePrefix="0" xfId="1">
      <alignment horizontal="right" vertical="center"/>
    </xf>
    <xf numFmtId="0" fontId="13" fillId="0" borderId="2" applyAlignment="1" pivotButton="0" quotePrefix="0" xfId="0">
      <alignment vertical="center"/>
    </xf>
    <xf numFmtId="164" fontId="6" fillId="0" borderId="2" applyAlignment="1" pivotButton="0" quotePrefix="0" xfId="2">
      <alignment vertical="center"/>
    </xf>
    <xf numFmtId="0" fontId="6" fillId="0" borderId="3" applyAlignment="1" pivotButton="0" quotePrefix="0" xfId="0">
      <alignment vertical="center"/>
    </xf>
    <xf numFmtId="0" fontId="6" fillId="0" borderId="0" applyAlignment="1" pivotButton="0" quotePrefix="0" xfId="0">
      <alignment horizontal="center"/>
    </xf>
    <xf numFmtId="164" fontId="11" fillId="0" borderId="0" applyAlignment="1" pivotButton="0" quotePrefix="0" xfId="1">
      <alignment horizontal="center"/>
    </xf>
    <xf numFmtId="1" fontId="6" fillId="0" borderId="0" applyAlignment="1" pivotButton="0" quotePrefix="0" xfId="1">
      <alignment horizontal="right"/>
    </xf>
    <xf numFmtId="4" fontId="6" fillId="0" borderId="0" applyAlignment="1" pivotButton="0" quotePrefix="0" xfId="1">
      <alignment horizontal="right"/>
    </xf>
    <xf numFmtId="40" fontId="6" fillId="0" borderId="0" applyAlignment="1" pivotButton="0" quotePrefix="0" xfId="1">
      <alignment horizontal="right"/>
    </xf>
    <xf numFmtId="0" fontId="15" fillId="0" borderId="0" applyAlignment="1" pivotButton="0" quotePrefix="0" xfId="0">
      <alignment horizontal="center"/>
    </xf>
    <xf numFmtId="4" fontId="15" fillId="0" borderId="0" applyAlignment="1" pivotButton="0" quotePrefix="0" xfId="1">
      <alignment horizontal="center"/>
    </xf>
    <xf numFmtId="0" fontId="13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1" fontId="13" fillId="0" borderId="0" applyAlignment="1" pivotButton="0" quotePrefix="0" xfId="1">
      <alignment horizontal="right"/>
    </xf>
    <xf numFmtId="4" fontId="13" fillId="0" borderId="0" applyAlignment="1" pivotButton="0" quotePrefix="0" xfId="1">
      <alignment horizontal="right"/>
    </xf>
    <xf numFmtId="40" fontId="13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0" fontId="16" fillId="0" borderId="0" pivotButton="0" quotePrefix="0" xfId="0"/>
    <xf numFmtId="0" fontId="13" fillId="2" borderId="1" applyAlignment="1" pivotButton="0" quotePrefix="0" xfId="0">
      <alignment horizontal="center" vertical="center"/>
    </xf>
    <xf numFmtId="0" fontId="13" fillId="2" borderId="3" applyAlignment="1" pivotButton="0" quotePrefix="0" xfId="0">
      <alignment horizontal="center" vertical="center"/>
    </xf>
    <xf numFmtId="0" fontId="13" fillId="2" borderId="2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" fontId="13" fillId="2" borderId="1" applyAlignment="1" pivotButton="0" quotePrefix="0" xfId="2">
      <alignment horizontal="center" vertical="center"/>
    </xf>
    <xf numFmtId="4" fontId="13" fillId="2" borderId="1" applyAlignment="1" pivotButton="0" quotePrefix="0" xfId="2">
      <alignment horizontal="center" vertical="center"/>
    </xf>
    <xf numFmtId="40" fontId="13" fillId="2" borderId="1" applyAlignment="1" pivotButton="0" quotePrefix="0" xfId="2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7" fillId="0" borderId="6" applyAlignment="1" pivotButton="0" quotePrefix="0" xfId="0">
      <alignment horizontal="left" vertical="center"/>
    </xf>
    <xf numFmtId="0" fontId="17" fillId="0" borderId="7" applyAlignment="1" pivotButton="0" quotePrefix="0" xfId="0">
      <alignment horizontal="left" vertical="center"/>
    </xf>
    <xf numFmtId="0" fontId="16" fillId="0" borderId="8" applyAlignment="1" pivotButton="0" quotePrefix="0" xfId="0">
      <alignment horizontal="center" vertical="center"/>
    </xf>
    <xf numFmtId="0" fontId="17" fillId="0" borderId="5" pivotButton="0" quotePrefix="0" xfId="0"/>
    <xf numFmtId="4" fontId="17" fillId="0" borderId="7" pivotButton="0" quotePrefix="0" xfId="2"/>
    <xf numFmtId="0" fontId="17" fillId="0" borderId="5" applyAlignment="1" pivotButton="0" quotePrefix="0" xfId="0">
      <alignment horizontal="right"/>
    </xf>
    <xf numFmtId="0" fontId="13" fillId="0" borderId="9" applyAlignment="1" pivotButton="0" quotePrefix="0" xfId="0">
      <alignment horizontal="center" vertical="center"/>
    </xf>
    <xf numFmtId="0" fontId="18" fillId="0" borderId="10" applyAlignment="1" pivotButton="0" quotePrefix="0" xfId="0">
      <alignment horizontal="left" vertical="center"/>
    </xf>
    <xf numFmtId="0" fontId="18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center"/>
    </xf>
    <xf numFmtId="0" fontId="13" fillId="0" borderId="9" applyAlignment="1" pivotButton="0" quotePrefix="0" xfId="0">
      <alignment horizontal="center"/>
    </xf>
    <xf numFmtId="1" fontId="6" fillId="0" borderId="9" applyAlignment="1" pivotButton="0" quotePrefix="0" xfId="2">
      <alignment horizontal="right"/>
    </xf>
    <xf numFmtId="40" fontId="6" fillId="0" borderId="9" applyAlignment="1" pivotButton="0" quotePrefix="0" xfId="0">
      <alignment horizontal="right"/>
    </xf>
    <xf numFmtId="0" fontId="4" fillId="0" borderId="10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13" fillId="0" borderId="13" applyAlignment="1" pivotButton="0" quotePrefix="0" xfId="0">
      <alignment horizontal="center"/>
    </xf>
    <xf numFmtId="1" fontId="6" fillId="0" borderId="12" applyAlignment="1" pivotButton="0" quotePrefix="0" xfId="2">
      <alignment horizontal="right"/>
    </xf>
    <xf numFmtId="0" fontId="6" fillId="0" borderId="9" applyAlignment="1" pivotButton="0" quotePrefix="0" xfId="0">
      <alignment horizontal="center" vertical="center"/>
    </xf>
    <xf numFmtId="0" fontId="6" fillId="0" borderId="10" pivotButton="0" quotePrefix="0" xfId="0"/>
    <xf numFmtId="0" fontId="6" fillId="0" borderId="11" pivotButton="0" quotePrefix="0" xfId="0"/>
    <xf numFmtId="0" fontId="13" fillId="0" borderId="12" applyAlignment="1" pivotButton="0" quotePrefix="0" xfId="0">
      <alignment horizontal="center"/>
    </xf>
    <xf numFmtId="2" fontId="6" fillId="0" borderId="13" applyAlignment="1" pivotButton="0" quotePrefix="0" xfId="2">
      <alignment horizontal="right"/>
    </xf>
    <xf numFmtId="0" fontId="7" fillId="0" borderId="12" applyAlignment="1" pivotButton="0" quotePrefix="0" xfId="0">
      <alignment horizontal="center"/>
    </xf>
    <xf numFmtId="40" fontId="6" fillId="0" borderId="9" applyAlignment="1" pivotButton="0" quotePrefix="0" xfId="2">
      <alignment horizontal="right" vertical="center"/>
    </xf>
    <xf numFmtId="1" fontId="6" fillId="0" borderId="9" applyAlignment="1" pivotButton="0" quotePrefix="0" xfId="2">
      <alignment horizontal="right"/>
    </xf>
    <xf numFmtId="0" fontId="7" fillId="0" borderId="9" applyAlignment="1" pivotButton="0" quotePrefix="0" xfId="0">
      <alignment horizontal="center"/>
    </xf>
    <xf numFmtId="0" fontId="20" fillId="0" borderId="10" pivotButton="0" quotePrefix="0" xfId="0"/>
    <xf numFmtId="40" fontId="6" fillId="0" borderId="10" applyAlignment="1" pivotButton="0" quotePrefix="0" xfId="0">
      <alignment horizontal="right"/>
    </xf>
    <xf numFmtId="40" fontId="13" fillId="0" borderId="10" applyAlignment="1" pivotButton="0" quotePrefix="0" xfId="2">
      <alignment horizontal="right" vertical="center"/>
    </xf>
    <xf numFmtId="0" fontId="7" fillId="0" borderId="14" applyAlignment="1" pivotButton="0" quotePrefix="0" xfId="0">
      <alignment horizontal="center"/>
    </xf>
    <xf numFmtId="0" fontId="6" fillId="0" borderId="15" applyAlignment="1" pivotButton="0" quotePrefix="0" xfId="0">
      <alignment horizontal="center" vertical="center"/>
    </xf>
    <xf numFmtId="0" fontId="6" fillId="0" borderId="16" pivotButton="0" quotePrefix="0" xfId="0"/>
    <xf numFmtId="0" fontId="6" fillId="0" borderId="17" pivotButton="0" quotePrefix="0" xfId="0"/>
    <xf numFmtId="0" fontId="13" fillId="0" borderId="18" applyAlignment="1" pivotButton="0" quotePrefix="0" xfId="0">
      <alignment horizontal="center"/>
    </xf>
    <xf numFmtId="1" fontId="6" fillId="0" borderId="15" applyAlignment="1" pivotButton="0" quotePrefix="0" xfId="2">
      <alignment horizontal="right"/>
    </xf>
    <xf numFmtId="0" fontId="6" fillId="0" borderId="15" applyAlignment="1" pivotButton="0" quotePrefix="0" xfId="0">
      <alignment horizontal="center"/>
    </xf>
    <xf numFmtId="40" fontId="6" fillId="0" borderId="19" applyAlignment="1" pivotButton="0" quotePrefix="0" xfId="0">
      <alignment horizontal="right"/>
    </xf>
    <xf numFmtId="40" fontId="13" fillId="0" borderId="19" applyAlignment="1" pivotButton="0" quotePrefix="0" xfId="2">
      <alignment horizontal="right" vertical="center"/>
    </xf>
    <xf numFmtId="0" fontId="13" fillId="0" borderId="5" applyAlignment="1" pivotButton="0" quotePrefix="0" xfId="0">
      <alignment horizontal="center" vertical="center"/>
    </xf>
    <xf numFmtId="0" fontId="18" fillId="0" borderId="6" applyAlignment="1" pivotButton="0" quotePrefix="0" xfId="0">
      <alignment horizontal="left" vertical="center"/>
    </xf>
    <xf numFmtId="0" fontId="18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1" fontId="6" fillId="0" borderId="5" applyAlignment="1" pivotButton="0" quotePrefix="0" xfId="2">
      <alignment horizontal="right"/>
    </xf>
    <xf numFmtId="40" fontId="6" fillId="0" borderId="5" applyAlignment="1" pivotButton="0" quotePrefix="0" xfId="0">
      <alignment horizontal="right"/>
    </xf>
    <xf numFmtId="40" fontId="6" fillId="0" borderId="20" applyAlignment="1" pivotButton="0" quotePrefix="0" xfId="0">
      <alignment horizontal="right"/>
    </xf>
    <xf numFmtId="4" fontId="6" fillId="0" borderId="13" applyAlignment="1" pivotButton="0" quotePrefix="0" xfId="0">
      <alignment horizontal="right"/>
    </xf>
    <xf numFmtId="40" fontId="6" fillId="0" borderId="13" applyAlignment="1" pivotButton="0" quotePrefix="0" xfId="2">
      <alignment horizontal="right" vertical="center"/>
    </xf>
    <xf numFmtId="0" fontId="6" fillId="0" borderId="20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/>
    </xf>
    <xf numFmtId="1" fontId="6" fillId="0" borderId="20" applyAlignment="1" pivotButton="0" quotePrefix="0" xfId="2">
      <alignment horizontal="right"/>
    </xf>
    <xf numFmtId="0" fontId="7" fillId="0" borderId="22" applyAlignment="1" pivotButton="0" quotePrefix="0" xfId="0">
      <alignment horizontal="center"/>
    </xf>
    <xf numFmtId="4" fontId="6" fillId="0" borderId="9" applyAlignment="1" pivotButton="0" quotePrefix="0" xfId="0">
      <alignment horizontal="right"/>
    </xf>
    <xf numFmtId="0" fontId="6" fillId="0" borderId="23" pivotButton="0" quotePrefix="0" xfId="0"/>
    <xf numFmtId="4" fontId="23" fillId="0" borderId="9" pivotButton="0" quotePrefix="0" xfId="0"/>
    <xf numFmtId="40" fontId="6" fillId="0" borderId="21" applyAlignment="1" pivotButton="0" quotePrefix="0" xfId="2">
      <alignment horizontal="right" vertical="center"/>
    </xf>
    <xf numFmtId="0" fontId="6" fillId="0" borderId="24" pivotButton="0" quotePrefix="0" xfId="0"/>
    <xf numFmtId="0" fontId="6" fillId="0" borderId="25" pivotButton="0" quotePrefix="0" xfId="0"/>
    <xf numFmtId="0" fontId="6" fillId="0" borderId="24" applyAlignment="1" pivotButton="0" quotePrefix="0" xfId="0">
      <alignment horizontal="center"/>
    </xf>
    <xf numFmtId="40" fontId="6" fillId="0" borderId="15" applyAlignment="1" pivotButton="0" quotePrefix="0" xfId="0">
      <alignment horizontal="right"/>
    </xf>
    <xf numFmtId="40" fontId="13" fillId="0" borderId="15" applyAlignment="1" pivotButton="0" quotePrefix="0" xfId="2">
      <alignment horizontal="right" vertical="center"/>
    </xf>
    <xf numFmtId="0" fontId="13" fillId="0" borderId="19" applyAlignment="1" pivotButton="0" quotePrefix="0" xfId="0">
      <alignment horizontal="center" vertical="center"/>
    </xf>
    <xf numFmtId="0" fontId="13" fillId="0" borderId="17" applyAlignment="1" pivotButton="0" quotePrefix="0" xfId="0">
      <alignment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0" borderId="4" applyAlignment="1" pivotButton="0" quotePrefix="0" xfId="0">
      <alignment horizontal="right" vertical="center" wrapText="1"/>
    </xf>
    <xf numFmtId="40" fontId="24" fillId="0" borderId="19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 wrapText="1"/>
    </xf>
    <xf numFmtId="0" fontId="13" fillId="0" borderId="2" applyAlignment="1" pivotButton="0" quotePrefix="0" xfId="0">
      <alignment horizontal="right" vertical="center" wrapText="1"/>
    </xf>
    <xf numFmtId="0" fontId="24" fillId="0" borderId="1" pivotButton="0" quotePrefix="0" xfId="0"/>
    <xf numFmtId="0" fontId="13" fillId="0" borderId="3" applyAlignment="1" pivotButton="0" quotePrefix="0" xfId="0">
      <alignment horizontal="right" vertical="center" wrapText="1"/>
    </xf>
    <xf numFmtId="40" fontId="24" fillId="0" borderId="1" pivotButton="0" quotePrefix="0" xfId="0"/>
    <xf numFmtId="0" fontId="13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40" fontId="10" fillId="0" borderId="0" applyAlignment="1" pivotButton="0" quotePrefix="0" xfId="2">
      <alignment horizontal="right"/>
    </xf>
    <xf numFmtId="0" fontId="6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" fontId="6" fillId="0" borderId="0" applyAlignment="1" pivotButton="0" quotePrefix="0" xfId="2">
      <alignment horizontal="right" vertical="center"/>
    </xf>
    <xf numFmtId="40" fontId="6" fillId="0" borderId="0" applyAlignment="1" pivotButton="0" quotePrefix="0" xfId="2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/>
    </xf>
    <xf numFmtId="0" fontId="0" fillId="0" borderId="0" pivotButton="0" quotePrefix="0" xfId="0"/>
    <xf numFmtId="0" fontId="27" fillId="0" borderId="0" applyAlignment="1" pivotButton="0" quotePrefix="0" xfId="0">
      <alignment horizontal="left" vertical="center" indent="3"/>
    </xf>
    <xf numFmtId="0" fontId="27" fillId="0" borderId="0" applyAlignment="1" pivotButton="0" quotePrefix="0" xfId="0">
      <alignment horizontal="left" vertical="center" indent="3"/>
    </xf>
    <xf numFmtId="40" fontId="7" fillId="0" borderId="0" applyAlignment="1" pivotButton="0" quotePrefix="0" xfId="2">
      <alignment horizontal="right"/>
    </xf>
    <xf numFmtId="0" fontId="27" fillId="0" borderId="0" applyAlignment="1" pivotButton="0" quotePrefix="0" xfId="0">
      <alignment horizontal="left" vertical="center" indent="4"/>
    </xf>
    <xf numFmtId="0" fontId="27" fillId="0" borderId="0" applyAlignment="1" pivotButton="0" quotePrefix="0" xfId="0">
      <alignment horizontal="left" vertical="center" indent="4"/>
    </xf>
    <xf numFmtId="0" fontId="7" fillId="0" borderId="0" pivotButton="0" quotePrefix="0" xfId="0"/>
    <xf numFmtId="0" fontId="7" fillId="0" borderId="0" pivotButton="0" quotePrefix="0" xfId="0"/>
    <xf numFmtId="0" fontId="28" fillId="0" borderId="0" applyAlignment="1" pivotButton="0" quotePrefix="0" xfId="0">
      <alignment horizontal="left" vertical="center" indent="3"/>
    </xf>
    <xf numFmtId="0" fontId="28" fillId="0" borderId="0" applyAlignment="1" pivotButton="0" quotePrefix="0" xfId="0">
      <alignment horizontal="left" vertical="center" indent="3"/>
    </xf>
    <xf numFmtId="0" fontId="29" fillId="0" borderId="0" pivotButton="0" quotePrefix="0" xfId="0"/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1" fontId="31" fillId="0" borderId="0" applyAlignment="1" pivotButton="0" quotePrefix="0" xfId="1">
      <alignment horizontal="right" vertical="center"/>
    </xf>
    <xf numFmtId="40" fontId="31" fillId="0" borderId="0" applyAlignment="1" pivotButton="0" quotePrefix="0" xfId="1">
      <alignment horizontal="right" vertical="center"/>
    </xf>
    <xf numFmtId="0" fontId="34" fillId="0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31" fillId="3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13" fillId="0" borderId="1" applyAlignment="1" pivotButton="0" quotePrefix="0" xfId="0">
      <alignment horizontal="right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171450</rowOff>
    </from>
    <to>
      <col>2</col>
      <colOff>1495425</colOff>
      <row>5</row>
      <rowOff>57150</rowOff>
    </to>
    <pic>
      <nvPicPr>
        <cNvPr id="2" name="Picture 3" descr="Mikro Logo.jpg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85725" y="171450"/>
          <a:ext cx="2867025" cy="1066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5</col>
      <colOff>571500</colOff>
      <row>100</row>
      <rowOff>161925</rowOff>
    </from>
    <to>
      <col>6</col>
      <colOff>1314450</colOff>
      <row>104</row>
      <rowOff>95250</rowOff>
    </to>
    <pic>
      <nvPicPr>
        <cNvPr id="4" name="Picture 5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5829300" y="22412325"/>
          <a:ext cx="1524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9"/>
  <sheetViews>
    <sheetView tabSelected="1" topLeftCell="A103" workbookViewId="0">
      <selection activeCell="K16" sqref="K16"/>
    </sheetView>
  </sheetViews>
  <sheetFormatPr baseColWidth="8" defaultRowHeight="15"/>
  <cols>
    <col width="5.85546875" customWidth="1" style="142" min="1" max="1"/>
    <col width="16" customWidth="1" style="142" min="2" max="2"/>
    <col width="26.7109375" customWidth="1" style="142" min="3" max="3"/>
    <col width="9" customWidth="1" style="142" min="4" max="4"/>
    <col width="11.7109375" customWidth="1" style="142" min="5" max="6"/>
    <col width="20.28515625" customWidth="1" style="142" min="7" max="8"/>
    <col width="15.28515625" customWidth="1" style="142" min="11" max="11"/>
  </cols>
  <sheetData>
    <row r="1" ht="27" customHeight="1" s="142">
      <c r="A1" s="1" t="n"/>
      <c r="B1" s="1" t="n"/>
      <c r="C1" s="1" t="n"/>
      <c r="D1" s="2" t="inlineStr">
        <is>
          <t>MIKRO BUSWAY SDN BHD (201001002004)</t>
        </is>
      </c>
      <c r="E1" s="3" t="n"/>
      <c r="F1" s="4" t="n"/>
      <c r="G1" s="5" t="n"/>
      <c r="H1" s="6" t="n"/>
    </row>
    <row r="2" ht="16.5" customHeight="1" s="142">
      <c r="A2" s="7" t="n"/>
      <c r="B2" s="7" t="n"/>
      <c r="C2" s="7" t="n"/>
      <c r="D2" s="8" t="inlineStr">
        <is>
          <t>No. 61 &amp; 62, Jalan Platinum 5/3,</t>
        </is>
      </c>
      <c r="E2" s="9" t="n"/>
      <c r="F2" s="10" t="n"/>
      <c r="G2" s="11" t="n"/>
      <c r="H2" s="12" t="n"/>
    </row>
    <row r="3" ht="16.5" customHeight="1" s="142">
      <c r="A3" s="1" t="n"/>
      <c r="B3" s="1" t="n"/>
      <c r="C3" s="1" t="n"/>
      <c r="D3" s="8" t="inlineStr">
        <is>
          <t>Pusat Perdagangan Nilai Impian XME,</t>
        </is>
      </c>
      <c r="E3" s="9" t="n"/>
      <c r="F3" s="13" t="n"/>
      <c r="G3" s="14" t="n"/>
      <c r="H3" s="15" t="n"/>
    </row>
    <row r="4" ht="16.5" customHeight="1" s="142">
      <c r="A4" s="1" t="n"/>
      <c r="B4" s="1" t="n"/>
      <c r="C4" s="1" t="n"/>
      <c r="D4" s="8" t="inlineStr">
        <is>
          <t>71800, Nilai, Negeri Sembilan, Malaysia.</t>
        </is>
      </c>
      <c r="E4" s="9" t="n"/>
      <c r="F4" s="13" t="n"/>
      <c r="G4" s="14" t="inlineStr">
        <is>
          <t>  </t>
        </is>
      </c>
      <c r="H4" s="15" t="n"/>
    </row>
    <row r="5" ht="16.5" customHeight="1" s="142">
      <c r="A5" s="16" t="n"/>
      <c r="B5" s="17" t="n"/>
      <c r="C5" s="17" t="n"/>
      <c r="D5" s="8" t="inlineStr">
        <is>
          <t>Tel: +606-795 3362       Email: busway@itmikro.com</t>
        </is>
      </c>
      <c r="E5" s="9" t="n"/>
      <c r="F5" s="18" t="n"/>
      <c r="G5" s="19" t="n"/>
      <c r="H5" s="20" t="n"/>
    </row>
    <row r="6" ht="16.5" customHeight="1" s="142">
      <c r="A6" s="16" t="n"/>
      <c r="B6" s="17" t="n"/>
      <c r="C6" s="17" t="n"/>
      <c r="D6" s="21" t="inlineStr">
        <is>
          <t>SST NO : N10-1808-21016496</t>
        </is>
      </c>
      <c r="E6" s="22" t="n"/>
      <c r="F6" s="18" t="n"/>
      <c r="G6" s="19" t="n"/>
      <c r="H6" s="20" t="n"/>
    </row>
    <row r="7">
      <c r="A7" s="16" t="n"/>
      <c r="B7" s="17" t="n"/>
      <c r="C7" s="17" t="n"/>
      <c r="D7" s="17" t="n"/>
      <c r="E7" s="23" t="n"/>
      <c r="F7" s="24" t="n"/>
      <c r="G7" s="25" t="n"/>
      <c r="H7" s="26" t="n"/>
    </row>
    <row r="8" ht="17.25" customHeight="1" s="142">
      <c r="A8" s="27" t="inlineStr">
        <is>
          <t>To</t>
        </is>
      </c>
      <c r="B8" s="28" t="inlineStr">
        <is>
          <t xml:space="preserve">: </t>
        </is>
      </c>
      <c r="C8" s="28" t="n"/>
      <c r="D8" s="29" t="n"/>
      <c r="E8" s="30" t="inlineStr">
        <is>
          <t>Date</t>
        </is>
      </c>
      <c r="F8" s="31" t="inlineStr">
        <is>
          <t xml:space="preserve">: </t>
        </is>
      </c>
      <c r="G8" s="32" t="n"/>
      <c r="H8" s="33" t="n"/>
    </row>
    <row r="9" ht="17.25" customHeight="1" s="142">
      <c r="A9" s="27" t="inlineStr">
        <is>
          <t>Attn</t>
        </is>
      </c>
      <c r="B9" s="28" t="inlineStr">
        <is>
          <t>:</t>
        </is>
      </c>
      <c r="C9" s="34" t="n"/>
      <c r="D9" s="29" t="n"/>
      <c r="E9" s="30" t="inlineStr">
        <is>
          <t>Tel</t>
        </is>
      </c>
      <c r="F9" s="35" t="inlineStr">
        <is>
          <t xml:space="preserve">: </t>
        </is>
      </c>
      <c r="G9" s="32" t="n"/>
      <c r="H9" s="33" t="n"/>
    </row>
    <row r="10" ht="17.25" customHeight="1" s="142">
      <c r="A10" s="27" t="inlineStr">
        <is>
          <t>From</t>
        </is>
      </c>
      <c r="B10" s="36" t="inlineStr">
        <is>
          <t xml:space="preserve">: </t>
        </is>
      </c>
      <c r="C10" s="28" t="n"/>
      <c r="D10" s="29" t="n"/>
      <c r="E10" s="30" t="inlineStr">
        <is>
          <t>Fax / Email</t>
        </is>
      </c>
      <c r="F10" s="35" t="inlineStr">
        <is>
          <t xml:space="preserve">: </t>
        </is>
      </c>
      <c r="G10" s="32" t="n"/>
      <c r="H10" s="33" t="n"/>
    </row>
    <row r="11" ht="17.25" customHeight="1" s="142">
      <c r="A11" s="37" t="n"/>
      <c r="B11" s="6" t="n"/>
      <c r="C11" s="6" t="n"/>
      <c r="D11" s="6" t="n"/>
      <c r="E11" s="38" t="n"/>
      <c r="F11" s="39" t="n"/>
      <c r="G11" s="40" t="n"/>
      <c r="H11" s="41" t="n"/>
    </row>
    <row r="12" ht="17.25" customHeight="1" s="142">
      <c r="A12" s="42" t="inlineStr">
        <is>
          <t>QUOTATION</t>
        </is>
      </c>
    </row>
    <row r="13" ht="17.25" customHeight="1" s="142">
      <c r="A13" s="44" t="n"/>
      <c r="B13" s="44" t="n"/>
      <c r="C13" s="44" t="n"/>
      <c r="D13" s="44" t="n"/>
      <c r="E13" s="45" t="n"/>
      <c r="F13" s="46" t="n"/>
      <c r="G13" s="47" t="n"/>
      <c r="H13" s="48" t="n"/>
    </row>
    <row r="14" ht="17.25" customHeight="1" s="142">
      <c r="A14" s="49" t="inlineStr">
        <is>
          <t xml:space="preserve">OUR REF    : </t>
        </is>
      </c>
      <c r="B14" s="50" t="n"/>
      <c r="C14" s="50" t="n"/>
      <c r="D14" s="44" t="n"/>
      <c r="E14" s="50" t="n"/>
      <c r="F14" s="8" t="inlineStr">
        <is>
          <t xml:space="preserve">M&amp;E : </t>
        </is>
      </c>
      <c r="H14" s="8" t="n"/>
    </row>
    <row r="15" ht="17.25" customHeight="1" s="142">
      <c r="A15" s="49" t="inlineStr">
        <is>
          <t xml:space="preserve">PROJECT   : </t>
        </is>
      </c>
      <c r="B15" s="51" t="n"/>
      <c r="C15" s="51" t="n"/>
      <c r="D15" s="44" t="n"/>
      <c r="E15" s="44" t="n"/>
      <c r="F15" s="4" t="n"/>
      <c r="G15" s="5" t="n"/>
      <c r="H15" s="6" t="n"/>
    </row>
    <row r="16" ht="17.25" customHeight="1" s="142">
      <c r="A16" s="52" t="inlineStr">
        <is>
          <t>No.</t>
        </is>
      </c>
      <c r="B16" s="52" t="inlineStr">
        <is>
          <t>Description</t>
        </is>
      </c>
      <c r="C16" s="166" t="n"/>
      <c r="D16" s="167" t="n"/>
      <c r="E16" s="56" t="inlineStr">
        <is>
          <t>Quantity</t>
        </is>
      </c>
      <c r="F16" s="52" t="inlineStr">
        <is>
          <t>Unit</t>
        </is>
      </c>
      <c r="G16" s="57" t="inlineStr">
        <is>
          <t>Unit Rate</t>
        </is>
      </c>
      <c r="H16" s="58" t="inlineStr">
        <is>
          <t>Total Amount</t>
        </is>
      </c>
    </row>
    <row r="17" ht="16.5" customHeight="1" s="142">
      <c r="A17" s="59" t="n"/>
      <c r="B17" s="60" t="n"/>
      <c r="C17" s="61" t="n"/>
      <c r="D17" s="62" t="n"/>
      <c r="E17" s="63" t="n"/>
      <c r="F17" s="63" t="n"/>
      <c r="G17" s="64" t="n"/>
      <c r="H17" s="65" t="inlineStr">
        <is>
          <t>Ex-Nilai Factory in RM</t>
        </is>
      </c>
    </row>
    <row r="18" ht="20.25" customHeight="1" s="142">
      <c r="A18" s="66" t="n">
        <v>1</v>
      </c>
      <c r="B18" s="67" t="inlineStr">
        <is>
          <t>MIKRO BUSWAY # 4000A TPNE, 3P5W+50%E, 600VAC, 50Hz (ALUMINIUM) - IP54</t>
        </is>
      </c>
      <c r="C18" s="68" t="n"/>
      <c r="D18" s="69" t="n"/>
      <c r="E18" s="70" t="n"/>
      <c r="F18" s="84" t="n"/>
      <c r="G18" s="72" t="n"/>
      <c r="H18" s="72" t="n"/>
    </row>
    <row r="19" ht="17.25" customHeight="1" s="142">
      <c r="A19" s="66" t="n"/>
      <c r="B19" s="73" t="inlineStr">
        <is>
          <t>FROM TX-1 TO MSB-1</t>
        </is>
      </c>
      <c r="C19" s="74" t="n"/>
      <c r="D19" s="69" t="n"/>
      <c r="E19" s="75" t="n"/>
      <c r="F19" s="76" t="n"/>
      <c r="G19" s="72" t="n"/>
      <c r="H19" s="72" t="n"/>
    </row>
    <row r="20" ht="17.25" customHeight="1" s="142">
      <c r="A20" s="77" t="n"/>
      <c r="B20" s="78" t="inlineStr">
        <is>
          <t>FEEDER C/W INTEGRAL EARTH  (Horizontal)</t>
        </is>
      </c>
      <c r="C20" s="79" t="n"/>
      <c r="D20" s="80" t="n"/>
      <c r="E20" s="81" t="n"/>
      <c r="F20" s="82" t="inlineStr">
        <is>
          <t>MTR</t>
        </is>
      </c>
      <c r="G20" s="72" t="n"/>
      <c r="H20" s="83">
        <f>SUM(E20*G20)</f>
        <v/>
      </c>
    </row>
    <row r="21" ht="17.25" customHeight="1" s="142">
      <c r="A21" s="77" t="n"/>
      <c r="B21" s="78" t="inlineStr">
        <is>
          <t>FLANGE END</t>
        </is>
      </c>
      <c r="C21" s="79" t="n"/>
      <c r="D21" s="80" t="n"/>
      <c r="E21" s="84" t="n"/>
      <c r="F21" s="85" t="inlineStr">
        <is>
          <t>NOS</t>
        </is>
      </c>
      <c r="G21" s="72" t="n"/>
      <c r="H21" s="83">
        <f>E21*G21</f>
        <v/>
      </c>
    </row>
    <row r="22" ht="17.25" customHeight="1" s="142">
      <c r="A22" s="77" t="n"/>
      <c r="B22" s="78" t="inlineStr">
        <is>
          <t>HORIZONTAL ELBOW</t>
        </is>
      </c>
      <c r="C22" s="79" t="n"/>
      <c r="D22" s="80" t="n"/>
      <c r="E22" s="84" t="n"/>
      <c r="F22" s="85" t="inlineStr">
        <is>
          <t>NOS</t>
        </is>
      </c>
      <c r="G22" s="72" t="n"/>
      <c r="H22" s="83">
        <f>E22*G22</f>
        <v/>
      </c>
    </row>
    <row r="23" ht="17.25" customHeight="1" s="142">
      <c r="A23" s="77" t="n"/>
      <c r="B23" s="78" t="inlineStr">
        <is>
          <t>VERTICAL ELBOW</t>
        </is>
      </c>
      <c r="C23" s="79" t="n"/>
      <c r="D23" s="80" t="n"/>
      <c r="E23" s="84" t="n"/>
      <c r="F23" s="85" t="inlineStr">
        <is>
          <t>NOS</t>
        </is>
      </c>
      <c r="G23" s="72" t="n"/>
      <c r="H23" s="83">
        <f>E23*G23</f>
        <v/>
      </c>
    </row>
    <row r="24" ht="17.25" customHeight="1" s="142">
      <c r="A24" s="77" t="n"/>
      <c r="B24" s="78" t="inlineStr">
        <is>
          <t>FLEXIBLE LINK (BRAIDED TYPE)</t>
        </is>
      </c>
      <c r="C24" s="79" t="n"/>
      <c r="D24" s="80" t="n"/>
      <c r="E24" s="84" t="n"/>
      <c r="F24" s="85" t="inlineStr">
        <is>
          <t>SETS</t>
        </is>
      </c>
      <c r="G24" s="72" t="n"/>
      <c r="H24" s="83">
        <f>E24*G24</f>
        <v/>
      </c>
    </row>
    <row r="25" ht="17.25" customHeight="1" s="142">
      <c r="A25" s="77" t="n"/>
      <c r="B25" s="86" t="inlineStr">
        <is>
          <t>OPTIONAL</t>
        </is>
      </c>
      <c r="C25" s="79" t="n"/>
      <c r="D25" s="80" t="n"/>
      <c r="E25" s="84" t="n"/>
      <c r="F25" s="85" t="n"/>
      <c r="G25" s="87" t="n"/>
      <c r="H25" s="88" t="n"/>
    </row>
    <row r="26" ht="20.25" customHeight="1" s="142">
      <c r="A26" s="77" t="n"/>
      <c r="B26" s="78" t="inlineStr">
        <is>
          <t>MOUNTING CLAMP (W/O ROD &amp; C-CHANNEL)</t>
        </is>
      </c>
      <c r="C26" s="79" t="n"/>
      <c r="D26" s="80" t="n"/>
      <c r="E26" s="84" t="n"/>
      <c r="F26" s="85" t="inlineStr">
        <is>
          <t>SETS</t>
        </is>
      </c>
      <c r="G26" s="72" t="n"/>
      <c r="H26" s="83">
        <f>E26*G26</f>
        <v/>
      </c>
    </row>
    <row r="27" ht="17.25" customHeight="1" s="142">
      <c r="A27" s="77" t="n"/>
      <c r="B27" s="78" t="inlineStr">
        <is>
          <t>BI-METAL PLATE (2 x 80mm x 200mm, 8 pcs/set)</t>
        </is>
      </c>
      <c r="C27" s="79" t="n"/>
      <c r="D27" s="80" t="n"/>
      <c r="E27" s="84" t="n"/>
      <c r="F27" s="89" t="inlineStr">
        <is>
          <t>SETS</t>
        </is>
      </c>
      <c r="G27" s="72" t="n"/>
      <c r="H27" s="83">
        <f>E27*G27</f>
        <v/>
      </c>
    </row>
    <row r="28" ht="17.25" customHeight="1" s="142">
      <c r="A28" s="77" t="n"/>
      <c r="B28" s="78" t="inlineStr">
        <is>
          <t>CONNECTION BARS (TX &amp; MSB)</t>
        </is>
      </c>
      <c r="C28" s="79" t="n"/>
      <c r="D28" s="80" t="n"/>
      <c r="E28" s="84" t="n"/>
      <c r="F28" s="85" t="inlineStr">
        <is>
          <t>LOTS</t>
        </is>
      </c>
      <c r="G28" s="72" t="n"/>
      <c r="H28" s="83" t="inlineStr">
        <is>
          <t>EXCLUDED</t>
        </is>
      </c>
    </row>
    <row r="29" ht="17.25" customHeight="1" s="142">
      <c r="A29" s="90" t="n"/>
      <c r="B29" s="91" t="n"/>
      <c r="C29" s="92" t="n"/>
      <c r="D29" s="93" t="n"/>
      <c r="E29" s="94" t="n"/>
      <c r="F29" s="95" t="n"/>
      <c r="G29" s="96" t="n"/>
      <c r="H29" s="97">
        <f>SUM(H20:H28)</f>
        <v/>
      </c>
    </row>
    <row r="30" ht="20.25" customHeight="1" s="142">
      <c r="A30" s="98" t="n">
        <v>2</v>
      </c>
      <c r="B30" s="99" t="inlineStr">
        <is>
          <t>MIKRO BUSWAY #4000A TPNE, 3P5W+50%E, 600VAC, 50Hz (ALUMINIUM) - IP54</t>
        </is>
      </c>
      <c r="C30" s="100" t="n"/>
      <c r="D30" s="101" t="n"/>
      <c r="E30" s="102" t="n"/>
      <c r="F30" s="103" t="n"/>
      <c r="G30" s="104" t="n"/>
      <c r="H30" s="104" t="n"/>
    </row>
    <row r="31" ht="17.25" customHeight="1" s="142">
      <c r="A31" s="66" t="n"/>
      <c r="B31" s="73" t="inlineStr">
        <is>
          <t>FROM TX-2 TO MSB-2</t>
        </is>
      </c>
      <c r="C31" s="74" t="n"/>
      <c r="D31" s="69" t="n"/>
      <c r="E31" s="75" t="n"/>
      <c r="F31" s="76" t="n"/>
      <c r="G31" s="72" t="n"/>
      <c r="H31" s="72" t="n"/>
    </row>
    <row r="32" ht="17.25" customHeight="1" s="142">
      <c r="A32" s="77" t="n"/>
      <c r="B32" s="78" t="inlineStr">
        <is>
          <t>FEEDER C/W INTEGRAL EARTH  (Horizontal)</t>
        </is>
      </c>
      <c r="C32" s="79" t="n"/>
      <c r="D32" s="80" t="n"/>
      <c r="E32" s="81" t="n"/>
      <c r="F32" s="82" t="inlineStr">
        <is>
          <t>MTR</t>
        </is>
      </c>
      <c r="G32" s="72" t="n"/>
      <c r="H32" s="83">
        <f>SUM(E32*G32)</f>
        <v/>
      </c>
    </row>
    <row r="33" ht="17.25" customHeight="1" s="142">
      <c r="A33" s="77" t="n"/>
      <c r="B33" s="78" t="inlineStr">
        <is>
          <t>FLANGE END</t>
        </is>
      </c>
      <c r="C33" s="79" t="n"/>
      <c r="D33" s="80" t="n"/>
      <c r="E33" s="84" t="n"/>
      <c r="F33" s="85" t="inlineStr">
        <is>
          <t>NOS</t>
        </is>
      </c>
      <c r="G33" s="72" t="n"/>
      <c r="H33" s="83">
        <f>E33*G33</f>
        <v/>
      </c>
    </row>
    <row r="34" ht="17.25" customHeight="1" s="142">
      <c r="A34" s="77" t="n"/>
      <c r="B34" s="78" t="inlineStr">
        <is>
          <t>HORIZONTAL ELBOW</t>
        </is>
      </c>
      <c r="C34" s="79" t="n"/>
      <c r="D34" s="80" t="n"/>
      <c r="E34" s="84" t="n"/>
      <c r="F34" s="85" t="inlineStr">
        <is>
          <t>NOS</t>
        </is>
      </c>
      <c r="G34" s="72" t="n"/>
      <c r="H34" s="83">
        <f>E34*G34</f>
        <v/>
      </c>
    </row>
    <row r="35" ht="17.25" customHeight="1" s="142">
      <c r="A35" s="77" t="n"/>
      <c r="B35" s="78" t="inlineStr">
        <is>
          <t>VERTCAL ELBOW</t>
        </is>
      </c>
      <c r="C35" s="79" t="n"/>
      <c r="D35" s="80" t="n"/>
      <c r="E35" s="84" t="n"/>
      <c r="F35" s="85" t="inlineStr">
        <is>
          <t>NOS</t>
        </is>
      </c>
      <c r="G35" s="72" t="n"/>
      <c r="H35" s="83">
        <f>E35*G35</f>
        <v/>
      </c>
    </row>
    <row r="36" ht="17.25" customHeight="1" s="142">
      <c r="A36" s="77" t="n"/>
      <c r="B36" s="78" t="inlineStr">
        <is>
          <t>FLEXIBLE LINK (BRAIDED TYPE)</t>
        </is>
      </c>
      <c r="C36" s="79" t="n"/>
      <c r="D36" s="80" t="n"/>
      <c r="E36" s="84" t="n"/>
      <c r="F36" s="85" t="inlineStr">
        <is>
          <t>SETS</t>
        </is>
      </c>
      <c r="G36" s="72" t="n"/>
      <c r="H36" s="83">
        <f>E36*G36</f>
        <v/>
      </c>
    </row>
    <row r="37" ht="17.25" customHeight="1" s="142">
      <c r="A37" s="77" t="n"/>
      <c r="B37" s="86" t="inlineStr">
        <is>
          <t>OPTIONAL</t>
        </is>
      </c>
      <c r="C37" s="79" t="n"/>
      <c r="D37" s="80" t="n"/>
      <c r="E37" s="84" t="n"/>
      <c r="F37" s="85" t="n"/>
      <c r="G37" s="72" t="n"/>
      <c r="H37" s="83" t="n"/>
    </row>
    <row r="38" ht="20.25" customHeight="1" s="142">
      <c r="A38" s="77" t="n"/>
      <c r="B38" s="78" t="inlineStr">
        <is>
          <t>MOUNTING CLAMP (W/O ROD &amp; C-CHANNEL)</t>
        </is>
      </c>
      <c r="C38" s="79" t="n"/>
      <c r="D38" s="80" t="n"/>
      <c r="E38" s="84" t="n"/>
      <c r="F38" s="85" t="inlineStr">
        <is>
          <t>SETS</t>
        </is>
      </c>
      <c r="G38" s="72" t="n"/>
      <c r="H38" s="83">
        <f>E38*G38</f>
        <v/>
      </c>
    </row>
    <row r="39" ht="17.25" customHeight="1" s="142">
      <c r="A39" s="77" t="n"/>
      <c r="B39" s="78" t="inlineStr">
        <is>
          <t>BI-METAL PLATE (2 x 80mm x 200mm, 8 pcs/set)</t>
        </is>
      </c>
      <c r="C39" s="79" t="n"/>
      <c r="D39" s="80" t="n"/>
      <c r="E39" s="84" t="n"/>
      <c r="F39" s="85" t="inlineStr">
        <is>
          <t>SETS</t>
        </is>
      </c>
      <c r="G39" s="72" t="n"/>
      <c r="H39" s="83">
        <f>E39*G39</f>
        <v/>
      </c>
    </row>
    <row r="40" ht="17.25" customHeight="1" s="142">
      <c r="A40" s="77" t="n"/>
      <c r="B40" s="78" t="inlineStr">
        <is>
          <t>CONNECTION BARS (TX &amp; MSB)</t>
        </is>
      </c>
      <c r="C40" s="79" t="n"/>
      <c r="D40" s="80" t="n"/>
      <c r="E40" s="84" t="n"/>
      <c r="F40" s="85" t="inlineStr">
        <is>
          <t>LOTS</t>
        </is>
      </c>
      <c r="G40" s="72" t="n"/>
      <c r="H40" s="83" t="inlineStr">
        <is>
          <t>EXCLUDED</t>
        </is>
      </c>
    </row>
    <row r="41" ht="17.25" customHeight="1" s="142">
      <c r="A41" s="90" t="n"/>
      <c r="B41" s="91" t="n"/>
      <c r="C41" s="92" t="n"/>
      <c r="D41" s="93" t="n"/>
      <c r="E41" s="94" t="n"/>
      <c r="F41" s="95" t="n"/>
      <c r="G41" s="96" t="n"/>
      <c r="H41" s="97">
        <f>SUM(H32:H40)</f>
        <v/>
      </c>
    </row>
    <row r="42" ht="20.25" customHeight="1" s="142">
      <c r="A42" s="98" t="n">
        <v>3</v>
      </c>
      <c r="B42" s="99" t="inlineStr">
        <is>
          <t>MIKRO BUSWAY #4000A TPNE, 3P5W+50%E, 600VAC, 50Hz (ALUMINIUM) - IP54</t>
        </is>
      </c>
      <c r="C42" s="100" t="n"/>
      <c r="D42" s="101" t="n"/>
      <c r="E42" s="102" t="n"/>
      <c r="F42" s="103" t="n"/>
      <c r="G42" s="104" t="n"/>
      <c r="H42" s="104" t="n"/>
    </row>
    <row r="43" ht="17.25" customHeight="1" s="142">
      <c r="A43" s="66" t="n"/>
      <c r="B43" s="73" t="inlineStr">
        <is>
          <t>FROM TX-3 TO MSB-3</t>
        </is>
      </c>
      <c r="C43" s="74" t="n"/>
      <c r="D43" s="69" t="n"/>
      <c r="E43" s="75" t="n"/>
      <c r="F43" s="76" t="n"/>
      <c r="G43" s="72" t="n"/>
      <c r="H43" s="72" t="n"/>
    </row>
    <row r="44" ht="17.25" customHeight="1" s="142">
      <c r="A44" s="77" t="n"/>
      <c r="B44" s="78" t="inlineStr">
        <is>
          <t>FEEDER C/W INTEGRAL EARTH  (Horizontal)</t>
        </is>
      </c>
      <c r="C44" s="79" t="n"/>
      <c r="D44" s="80" t="n"/>
      <c r="E44" s="81" t="n"/>
      <c r="F44" s="82" t="inlineStr">
        <is>
          <t>MTR</t>
        </is>
      </c>
      <c r="G44" s="72" t="n"/>
      <c r="H44" s="83">
        <f>SUM(E44*G44)</f>
        <v/>
      </c>
    </row>
    <row r="45" ht="17.25" customHeight="1" s="142">
      <c r="A45" s="77" t="n"/>
      <c r="B45" s="78" t="inlineStr">
        <is>
          <t>FLANGE END</t>
        </is>
      </c>
      <c r="C45" s="79" t="n"/>
      <c r="D45" s="80" t="n"/>
      <c r="E45" s="84" t="n"/>
      <c r="F45" s="85" t="inlineStr">
        <is>
          <t>NOS</t>
        </is>
      </c>
      <c r="G45" s="72" t="n"/>
      <c r="H45" s="83">
        <f>E45*G45</f>
        <v/>
      </c>
    </row>
    <row r="46" ht="17.25" customHeight="1" s="142">
      <c r="A46" s="77" t="n"/>
      <c r="B46" s="78" t="inlineStr">
        <is>
          <t>HORIZONTAL ELBOW</t>
        </is>
      </c>
      <c r="C46" s="79" t="n"/>
      <c r="D46" s="80" t="n"/>
      <c r="E46" s="84" t="n"/>
      <c r="F46" s="85" t="inlineStr">
        <is>
          <t>NOS</t>
        </is>
      </c>
      <c r="G46" s="72" t="n"/>
      <c r="H46" s="83">
        <f>E46*G46</f>
        <v/>
      </c>
    </row>
    <row r="47" ht="17.25" customHeight="1" s="142">
      <c r="A47" s="77" t="n"/>
      <c r="B47" s="78" t="inlineStr">
        <is>
          <t>VERTCAL ELBOW</t>
        </is>
      </c>
      <c r="C47" s="79" t="n"/>
      <c r="D47" s="80" t="n"/>
      <c r="E47" s="84" t="n"/>
      <c r="F47" s="85" t="inlineStr">
        <is>
          <t>NOS</t>
        </is>
      </c>
      <c r="G47" s="72" t="n"/>
      <c r="H47" s="83">
        <f>E47*G47</f>
        <v/>
      </c>
    </row>
    <row r="48" ht="17.25" customHeight="1" s="142">
      <c r="A48" s="77" t="n"/>
      <c r="B48" s="78" t="inlineStr">
        <is>
          <t>FLEXIBLE LINK (BRAIDED TYPE)</t>
        </is>
      </c>
      <c r="C48" s="79" t="n"/>
      <c r="D48" s="80" t="n"/>
      <c r="E48" s="84" t="n"/>
      <c r="F48" s="85" t="inlineStr">
        <is>
          <t>SETS</t>
        </is>
      </c>
      <c r="G48" s="72" t="n"/>
      <c r="H48" s="83">
        <f>E48*G48</f>
        <v/>
      </c>
    </row>
    <row r="49" ht="17.25" customHeight="1" s="142">
      <c r="A49" s="77" t="n"/>
      <c r="B49" s="86" t="inlineStr">
        <is>
          <t>OPTIONAL</t>
        </is>
      </c>
      <c r="C49" s="79" t="n"/>
      <c r="D49" s="80" t="n"/>
      <c r="E49" s="84" t="n"/>
      <c r="F49" s="85" t="n"/>
      <c r="G49" s="72" t="n"/>
      <c r="H49" s="83" t="n"/>
    </row>
    <row r="50" ht="20.25" customHeight="1" s="142">
      <c r="A50" s="77" t="n"/>
      <c r="B50" s="78" t="inlineStr">
        <is>
          <t>MOUNTING CLAMP (W/O ROD &amp; C-CHANNEL)</t>
        </is>
      </c>
      <c r="C50" s="79" t="n"/>
      <c r="D50" s="80" t="n"/>
      <c r="E50" s="84" t="n"/>
      <c r="F50" s="85" t="inlineStr">
        <is>
          <t>SETS</t>
        </is>
      </c>
      <c r="G50" s="72" t="n"/>
      <c r="H50" s="83">
        <f>E50*G50</f>
        <v/>
      </c>
    </row>
    <row r="51" ht="17.25" customHeight="1" s="142">
      <c r="A51" s="77" t="n"/>
      <c r="B51" s="78" t="inlineStr">
        <is>
          <t>BI-METAL PLATE (2 x 80mm x 200mm, 8 pcs/set)</t>
        </is>
      </c>
      <c r="C51" s="79" t="n"/>
      <c r="D51" s="80" t="n"/>
      <c r="E51" s="84" t="n"/>
      <c r="F51" s="85" t="inlineStr">
        <is>
          <t>SETS</t>
        </is>
      </c>
      <c r="G51" s="72" t="n"/>
      <c r="H51" s="83">
        <f>E51*G51</f>
        <v/>
      </c>
    </row>
    <row r="52" ht="17.25" customHeight="1" s="142">
      <c r="A52" s="77" t="n"/>
      <c r="B52" s="78" t="inlineStr">
        <is>
          <t>CONNECTION BARS (TX &amp; MSB)</t>
        </is>
      </c>
      <c r="C52" s="79" t="n"/>
      <c r="D52" s="80" t="n"/>
      <c r="E52" s="84" t="n"/>
      <c r="F52" s="85" t="inlineStr">
        <is>
          <t>LOTS</t>
        </is>
      </c>
      <c r="G52" s="72" t="n"/>
      <c r="H52" s="83" t="inlineStr">
        <is>
          <t>EXCLUDED</t>
        </is>
      </c>
    </row>
    <row r="53" ht="17.25" customHeight="1" s="142">
      <c r="A53" s="90" t="n"/>
      <c r="B53" s="91" t="n"/>
      <c r="C53" s="92" t="n"/>
      <c r="D53" s="93" t="n"/>
      <c r="E53" s="94" t="n"/>
      <c r="F53" s="95" t="n"/>
      <c r="G53" s="96" t="n"/>
      <c r="H53" s="97">
        <f>SUM(H44:H52)</f>
        <v/>
      </c>
    </row>
    <row r="54" ht="20.25" customHeight="1" s="142">
      <c r="A54" s="98" t="n">
        <v>4</v>
      </c>
      <c r="B54" s="99" t="inlineStr">
        <is>
          <t>MIKRO BUSWAY # 1600A TPNE, 3P4W+50%E, 600VAC, 50Hz (ALUMINIUM) - IP54</t>
        </is>
      </c>
      <c r="C54" s="100" t="n"/>
      <c r="D54" s="101" t="n"/>
      <c r="E54" s="102" t="n"/>
      <c r="F54" s="103" t="n"/>
      <c r="G54" s="104" t="n"/>
      <c r="H54" s="104" t="n"/>
    </row>
    <row r="55" ht="17.25" customHeight="1" s="142">
      <c r="A55" s="66" t="n"/>
      <c r="B55" s="73" t="inlineStr">
        <is>
          <t>FROM MSB-1 TO  TEST BAY 1-5</t>
        </is>
      </c>
      <c r="C55" s="74" t="n"/>
      <c r="D55" s="69" t="n"/>
      <c r="E55" s="75" t="n"/>
      <c r="F55" s="76" t="n"/>
      <c r="G55" s="72" t="n"/>
      <c r="H55" s="72" t="n"/>
    </row>
    <row r="56" ht="17.25" customHeight="1" s="142">
      <c r="A56" s="77" t="n"/>
      <c r="B56" s="78" t="inlineStr">
        <is>
          <t xml:space="preserve">FEEDER C/W INTEGRAL EARTH </t>
        </is>
      </c>
      <c r="C56" s="79" t="n"/>
      <c r="D56" s="80" t="n"/>
      <c r="E56" s="81" t="n"/>
      <c r="F56" s="82" t="inlineStr">
        <is>
          <t>MTR</t>
        </is>
      </c>
      <c r="G56" s="72" t="n"/>
      <c r="H56" s="83">
        <f>SUM(E56*G56)</f>
        <v/>
      </c>
    </row>
    <row r="57" ht="17.25" customHeight="1" s="142">
      <c r="A57" s="77" t="n"/>
      <c r="B57" s="78" t="inlineStr">
        <is>
          <t>FLANGE END</t>
        </is>
      </c>
      <c r="C57" s="79" t="n"/>
      <c r="D57" s="80" t="n"/>
      <c r="E57" s="84" t="n"/>
      <c r="F57" s="85" t="inlineStr">
        <is>
          <t>NOS</t>
        </is>
      </c>
      <c r="G57" s="72" t="n"/>
      <c r="H57" s="83">
        <f>E57*G57</f>
        <v/>
      </c>
    </row>
    <row r="58" ht="17.25" customHeight="1" s="142">
      <c r="A58" s="77" t="n"/>
      <c r="B58" s="78" t="inlineStr">
        <is>
          <t>END CLOSURE</t>
        </is>
      </c>
      <c r="C58" s="79" t="n"/>
      <c r="D58" s="80" t="n"/>
      <c r="E58" s="84" t="n"/>
      <c r="F58" s="85" t="inlineStr">
        <is>
          <t>  </t>
        </is>
      </c>
      <c r="G58" s="72" t="n"/>
      <c r="H58" s="83">
        <f>E58*G58</f>
        <v/>
      </c>
    </row>
    <row r="59" ht="17.25" customHeight="1" s="142">
      <c r="A59" s="77" t="n"/>
      <c r="B59" s="78" t="inlineStr">
        <is>
          <t>HORIZONTAL ELBOW</t>
        </is>
      </c>
      <c r="C59" s="79" t="n"/>
      <c r="D59" s="80" t="n"/>
      <c r="E59" s="84" t="n"/>
      <c r="F59" s="85" t="inlineStr">
        <is>
          <t>NOS</t>
        </is>
      </c>
      <c r="G59" s="72" t="n"/>
      <c r="H59" s="83">
        <f>E59*G59</f>
        <v/>
      </c>
    </row>
    <row r="60" ht="17.25" customHeight="1" s="142">
      <c r="A60" s="77" t="n"/>
      <c r="B60" s="78" t="inlineStr">
        <is>
          <t>VERTICAL ELBOW</t>
        </is>
      </c>
      <c r="C60" s="79" t="n"/>
      <c r="D60" s="80" t="n"/>
      <c r="E60" s="84" t="n"/>
      <c r="F60" s="85" t="inlineStr">
        <is>
          <t>NOS</t>
        </is>
      </c>
      <c r="G60" s="72" t="n"/>
      <c r="H60" s="83">
        <f>E60*G60</f>
        <v/>
      </c>
    </row>
    <row r="61" ht="17.25" customHeight="1" s="142">
      <c r="A61" s="77" t="n"/>
      <c r="B61" s="78" t="inlineStr">
        <is>
          <t>FIXED HANGER (1 SET = 2 NOS)</t>
        </is>
      </c>
      <c r="C61" s="79" t="n"/>
      <c r="D61" s="80" t="n"/>
      <c r="E61" s="84" t="n"/>
      <c r="F61" s="85" t="inlineStr">
        <is>
          <t>SETS</t>
        </is>
      </c>
      <c r="G61" s="72" t="n"/>
      <c r="H61" s="83">
        <f>E61*G61</f>
        <v/>
      </c>
    </row>
    <row r="62" ht="17.25" customHeight="1" s="142">
      <c r="A62" s="77" t="n"/>
      <c r="B62" s="78" t="inlineStr">
        <is>
          <t>SPRING HANGER (1 SET = 2 NOS)</t>
        </is>
      </c>
      <c r="C62" s="79" t="n"/>
      <c r="D62" s="80" t="n"/>
      <c r="E62" s="84" t="n"/>
      <c r="F62" s="85" t="inlineStr">
        <is>
          <t>SETS</t>
        </is>
      </c>
      <c r="G62" s="72" t="n"/>
      <c r="H62" s="83">
        <f>E62*G62</f>
        <v/>
      </c>
    </row>
    <row r="63" ht="17.25" customHeight="1" s="142">
      <c r="A63" s="77" t="n"/>
      <c r="B63" s="78" t="inlineStr">
        <is>
          <t>PLUG-IN OPENING</t>
        </is>
      </c>
      <c r="C63" s="79" t="n"/>
      <c r="D63" s="80" t="n"/>
      <c r="E63" s="84" t="n"/>
      <c r="F63" s="85" t="inlineStr">
        <is>
          <t>NOS</t>
        </is>
      </c>
      <c r="G63" s="72" t="n"/>
      <c r="H63" s="83">
        <f>E63*G63</f>
        <v/>
      </c>
    </row>
    <row r="64" ht="17.25" customHeight="1" s="142">
      <c r="A64" s="77" t="n"/>
      <c r="B64" s="86" t="inlineStr">
        <is>
          <t>OPTIONAL</t>
        </is>
      </c>
      <c r="C64" s="79" t="n"/>
      <c r="D64" s="80" t="n"/>
      <c r="E64" s="84" t="n"/>
      <c r="F64" s="85" t="n"/>
      <c r="G64" s="87" t="n"/>
      <c r="H64" s="83" t="n"/>
    </row>
    <row r="65" ht="17.25" customHeight="1" s="142">
      <c r="A65" s="77" t="n"/>
      <c r="B65" s="78" t="inlineStr">
        <is>
          <t>PLUG-IN OPENING (SPARE)</t>
        </is>
      </c>
      <c r="C65" s="79" t="n"/>
      <c r="D65" s="80" t="n"/>
      <c r="E65" s="84" t="n"/>
      <c r="F65" s="85" t="inlineStr">
        <is>
          <t>NOS</t>
        </is>
      </c>
      <c r="G65" s="72" t="n"/>
      <c r="H65" s="83">
        <f>E65*G65</f>
        <v/>
      </c>
    </row>
    <row r="66" ht="17.25" customHeight="1" s="142">
      <c r="A66" s="77" t="n"/>
      <c r="B66" s="78" t="inlineStr">
        <is>
          <t>BI-METAL PLATE (1 x 80mm x 150mm, 4 pcs/set)</t>
        </is>
      </c>
      <c r="C66" s="79" t="n"/>
      <c r="D66" s="80" t="n"/>
      <c r="E66" s="84" t="n"/>
      <c r="F66" s="85" t="inlineStr">
        <is>
          <t>SETS</t>
        </is>
      </c>
      <c r="G66" s="72" t="n"/>
      <c r="H66" s="83">
        <f>E66*G66</f>
        <v/>
      </c>
    </row>
    <row r="67" ht="17.25" customHeight="1" s="142">
      <c r="A67" s="77" t="n"/>
      <c r="B67" s="78" t="n"/>
      <c r="C67" s="79" t="n"/>
      <c r="D67" s="80" t="n"/>
      <c r="E67" s="84" t="n"/>
      <c r="F67" s="85" t="n"/>
      <c r="G67" s="105" t="n"/>
      <c r="H67" s="83" t="n"/>
    </row>
    <row r="68" ht="20.25" customHeight="1" s="142">
      <c r="A68" s="77" t="n"/>
      <c r="B68" s="86" t="inlineStr">
        <is>
          <t>PLUG-IN UNIT (HYUNDAI) - 26KA</t>
        </is>
      </c>
      <c r="C68" s="79" t="n"/>
      <c r="D68" s="80" t="n"/>
      <c r="E68" s="84" t="n"/>
      <c r="F68" s="85" t="n"/>
      <c r="G68" s="72" t="n"/>
      <c r="H68" s="83" t="n"/>
    </row>
    <row r="69" ht="17.25" customHeight="1" s="142">
      <c r="A69" s="77" t="n"/>
      <c r="B69" s="78" t="inlineStr">
        <is>
          <t>250A TPN MCCB (ON/OFF) C/W SHUNT TRIP</t>
        </is>
      </c>
      <c r="C69" s="79" t="n"/>
      <c r="D69" s="80" t="n"/>
      <c r="E69" s="84" t="n"/>
      <c r="F69" s="85" t="inlineStr">
        <is>
          <t>NOS</t>
        </is>
      </c>
      <c r="G69" s="106" t="n"/>
      <c r="H69" s="107">
        <f>E69*G69</f>
        <v/>
      </c>
    </row>
    <row r="70" ht="17.25" customHeight="1" s="142">
      <c r="A70" s="108" t="n"/>
      <c r="B70" s="78" t="inlineStr">
        <is>
          <t>400A TPN MCCB (ON/OFF) C/W SHUNT TRIP</t>
        </is>
      </c>
      <c r="C70" s="79" t="n"/>
      <c r="D70" s="109" t="n"/>
      <c r="E70" s="110" t="n"/>
      <c r="F70" s="111" t="inlineStr">
        <is>
          <t>NOS</t>
        </is>
      </c>
      <c r="G70" s="112" t="n"/>
      <c r="H70" s="83">
        <f>SUM(G70*E70)</f>
        <v/>
      </c>
    </row>
    <row r="71" ht="17.25" customHeight="1" s="142">
      <c r="A71" s="108" t="n"/>
      <c r="B71" s="113" t="inlineStr">
        <is>
          <t>630A TPN MCCB (ON/OFF) C/W SHUNT TRIP</t>
        </is>
      </c>
      <c r="C71" s="6" t="n"/>
      <c r="D71" s="109" t="n"/>
      <c r="E71" s="110" t="n"/>
      <c r="F71" s="111" t="inlineStr">
        <is>
          <t>NOS</t>
        </is>
      </c>
      <c r="G71" s="114" t="n"/>
      <c r="H71" s="115">
        <f>SUM(G71*E71)</f>
        <v/>
      </c>
    </row>
    <row r="72" ht="17.25" customHeight="1" s="142">
      <c r="A72" s="90" t="n"/>
      <c r="B72" s="116" t="n"/>
      <c r="C72" s="117" t="n"/>
      <c r="D72" s="93" t="n"/>
      <c r="E72" s="94" t="n"/>
      <c r="F72" s="118" t="n"/>
      <c r="G72" s="119" t="n"/>
      <c r="H72" s="120">
        <f>SUM(H56:H71)</f>
        <v/>
      </c>
    </row>
    <row r="73" ht="17.25" customHeight="1" s="142">
      <c r="A73" s="121" t="n"/>
      <c r="B73" s="122" t="n"/>
      <c r="C73" s="122" t="n"/>
      <c r="D73" s="122" t="n"/>
      <c r="E73" s="122" t="n"/>
      <c r="F73" s="124" t="inlineStr">
        <is>
          <t>Sub-Total Amount  :</t>
        </is>
      </c>
      <c r="G73" s="167" t="n"/>
      <c r="H73" s="125">
        <f>SUM(H72,H53,H41,H29,)</f>
        <v/>
      </c>
    </row>
    <row r="74" ht="15.75" customHeight="1" s="142">
      <c r="A74" s="126" t="n"/>
      <c r="B74" s="127" t="n"/>
      <c r="C74" s="127" t="n"/>
      <c r="D74" s="127" t="n"/>
      <c r="E74" s="127" t="n"/>
      <c r="F74" s="127" t="n"/>
      <c r="G74" s="128" t="inlineStr">
        <is>
          <t>10% SST:  :</t>
        </is>
      </c>
      <c r="H74" s="129">
        <f>SUM(H73*10%)</f>
        <v/>
      </c>
    </row>
    <row r="75" ht="17.25" customHeight="1" s="142">
      <c r="A75" s="126" t="n"/>
      <c r="B75" s="168" t="inlineStr">
        <is>
          <t>Grand Total Amount for Item No. 1 TO 4 , Ex-Nilai Factory in RM  :</t>
        </is>
      </c>
      <c r="C75" s="166" t="n"/>
      <c r="D75" s="166" t="n"/>
      <c r="E75" s="166" t="n"/>
      <c r="F75" s="166" t="n"/>
      <c r="G75" s="167" t="n"/>
      <c r="H75" s="131">
        <f>SUM(H73,H74)</f>
        <v/>
      </c>
    </row>
    <row r="77" ht="18.75" customHeight="1" s="142">
      <c r="B77" s="132" t="inlineStr">
        <is>
          <t>Manufacturer</t>
        </is>
      </c>
      <c r="C77" s="133" t="inlineStr">
        <is>
          <t>: Mikro Busway Sdn Bhd, Malaysia.</t>
        </is>
      </c>
      <c r="D77" s="133" t="n"/>
      <c r="E77" s="133" t="n"/>
      <c r="F77" s="133" t="n"/>
      <c r="G77" s="133" t="n"/>
      <c r="H77" s="134" t="n"/>
      <c r="K77" s="152" t="n"/>
    </row>
    <row r="78" ht="17.25" customHeight="1" s="142">
      <c r="B78" s="132" t="inlineStr">
        <is>
          <t>Validity</t>
        </is>
      </c>
      <c r="C78" s="133" t="inlineStr">
        <is>
          <t>: Based on LME Alu.@USD3,592 /MT and thereafter depands on current LME Aluminium price.</t>
        </is>
      </c>
      <c r="D78" s="135" t="n"/>
      <c r="E78" s="136" t="n"/>
      <c r="F78" s="137" t="n"/>
      <c r="G78" s="138" t="n"/>
      <c r="H78" s="134" t="n"/>
    </row>
    <row r="79" ht="20.25" customHeight="1" s="142">
      <c r="B79" s="132" t="inlineStr">
        <is>
          <t>Delivery</t>
        </is>
      </c>
      <c r="C79" s="133" t="inlineStr">
        <is>
          <t>: Approximately 8 to 10 working weeks upon receipt of approval drawings.</t>
        </is>
      </c>
      <c r="D79" s="135" t="n"/>
      <c r="E79" s="136" t="n"/>
      <c r="F79" s="137" t="n"/>
      <c r="G79" s="138" t="n"/>
      <c r="H79" s="134" t="n"/>
      <c r="K79" s="153" t="n"/>
      <c r="L79" s="154" t="n"/>
      <c r="M79" s="154" t="n"/>
      <c r="N79" s="154" t="n"/>
      <c r="O79" s="154" t="n"/>
      <c r="P79" s="154" t="n"/>
    </row>
    <row r="80" ht="17.25" customHeight="1" s="142">
      <c r="B80" s="132" t="inlineStr">
        <is>
          <t>Price</t>
        </is>
      </c>
      <c r="C80" s="133" t="inlineStr">
        <is>
          <t>: Ex-Nilai Factory in Ringgit Malaysia (RM).</t>
        </is>
      </c>
      <c r="D80" s="135" t="n"/>
      <c r="E80" s="136" t="n"/>
      <c r="F80" s="137" t="n"/>
      <c r="G80" s="138" t="n"/>
      <c r="H80" s="134" t="n"/>
      <c r="K80" s="155" t="n"/>
      <c r="L80" s="155" t="n"/>
      <c r="M80" s="155" t="n"/>
      <c r="N80" s="155" t="n"/>
      <c r="O80" s="155" t="n"/>
      <c r="P80" s="155" t="n"/>
    </row>
    <row r="81" ht="20.25" customHeight="1" s="142">
      <c r="B81" s="132" t="inlineStr">
        <is>
          <t>Payment</t>
        </is>
      </c>
      <c r="C81" s="133" t="inlineStr">
        <is>
          <t>: 30% Deposit is required upon confirmation of order.</t>
        </is>
      </c>
      <c r="D81" s="135" t="n"/>
      <c r="E81" s="136" t="n"/>
      <c r="F81" s="137" t="n"/>
      <c r="G81" s="138" t="n"/>
      <c r="H81" s="134" t="n"/>
      <c r="K81" s="156" t="n"/>
      <c r="L81" s="157" t="n"/>
      <c r="M81" s="157" t="n"/>
      <c r="N81" s="157" t="n"/>
      <c r="O81" s="157" t="n"/>
      <c r="P81" s="157" t="n"/>
    </row>
    <row r="82" ht="17.25" customHeight="1" s="142">
      <c r="B82" s="133" t="n"/>
      <c r="C82" s="133" t="inlineStr">
        <is>
          <t xml:space="preserve">  Balance on Irrevocable Letter of Credit 60 Days.</t>
        </is>
      </c>
      <c r="D82" s="133" t="n"/>
      <c r="E82" s="133" t="n"/>
      <c r="F82" s="133" t="n"/>
      <c r="G82" s="133" t="n"/>
      <c r="H82" s="134" t="n"/>
      <c r="K82" s="156" t="n"/>
      <c r="L82" s="157" t="n"/>
      <c r="M82" s="158" t="n"/>
      <c r="N82" s="159" t="n"/>
      <c r="O82" s="160" t="n"/>
      <c r="P82" s="161" t="n"/>
    </row>
    <row r="83" ht="17.25" customHeight="1" s="142">
      <c r="B83" s="133" t="n"/>
      <c r="C83" s="133" t="n"/>
      <c r="D83" s="133" t="n"/>
      <c r="E83" s="133" t="n"/>
      <c r="F83" s="133" t="n"/>
      <c r="G83" s="133" t="n"/>
      <c r="H83" s="134" t="n"/>
      <c r="K83" s="156" t="n"/>
      <c r="L83" s="157" t="n"/>
      <c r="M83" s="158" t="n"/>
      <c r="N83" s="159" t="n"/>
      <c r="O83" s="160" t="n"/>
      <c r="P83" s="161" t="n"/>
    </row>
    <row r="84" ht="20.25" customHeight="1" s="142">
      <c r="B84" s="139" t="inlineStr">
        <is>
          <t>Remarks :</t>
        </is>
      </c>
      <c r="C84" s="140" t="n"/>
      <c r="D84" s="140" t="n"/>
      <c r="E84" s="140" t="n"/>
      <c r="F84" s="140" t="n"/>
      <c r="G84" s="140" t="n"/>
      <c r="H84" s="134" t="n"/>
      <c r="K84" s="156" t="n"/>
      <c r="L84" s="157" t="n"/>
      <c r="M84" s="158" t="n"/>
      <c r="N84" s="159" t="n"/>
      <c r="O84" s="160" t="n"/>
      <c r="P84" s="161" t="n"/>
    </row>
    <row r="85" ht="18" customHeight="1" s="142">
      <c r="B85" s="140" t="inlineStr">
        <is>
          <t>1.  The quantities quoted are rough estimation only. Final busway amount shall based on the actual</t>
        </is>
      </c>
      <c r="C85" s="140" t="n"/>
      <c r="D85" s="140" t="n"/>
      <c r="E85" s="140" t="n"/>
      <c r="F85" s="140" t="n"/>
      <c r="G85" s="140" t="n"/>
      <c r="H85" s="134" t="n"/>
      <c r="K85" s="156" t="n"/>
      <c r="L85" s="157" t="n"/>
      <c r="M85" s="158" t="n"/>
      <c r="N85" s="159" t="n"/>
      <c r="O85" s="160" t="n"/>
      <c r="P85" s="161" t="n"/>
    </row>
    <row r="86" ht="17.25" customHeight="1" s="142">
      <c r="B86" s="140" t="inlineStr">
        <is>
          <t xml:space="preserve">     delivery and approved shop-drawings.</t>
        </is>
      </c>
      <c r="C86" s="140" t="n"/>
      <c r="D86" s="140" t="n"/>
      <c r="E86" s="140" t="n"/>
      <c r="F86" s="140" t="n"/>
      <c r="G86" s="140" t="n"/>
      <c r="H86" s="134" t="n"/>
      <c r="K86" s="157" t="n"/>
      <c r="L86" s="157" t="n"/>
      <c r="M86" s="157" t="n"/>
      <c r="N86" s="157" t="n"/>
      <c r="O86" s="157" t="n"/>
      <c r="P86" s="157" t="n"/>
    </row>
    <row r="87" ht="17.25" customHeight="1" s="142">
      <c r="B87" s="140" t="inlineStr">
        <is>
          <t>2.  All Bi-Metal materials for Aluminum Busway are by contractor.</t>
        </is>
      </c>
      <c r="C87" s="140" t="n"/>
      <c r="D87" s="140" t="n"/>
      <c r="E87" s="140" t="n"/>
      <c r="F87" s="140" t="n"/>
      <c r="G87" s="140" t="n"/>
      <c r="H87" s="134" t="n"/>
      <c r="K87" s="154" t="n"/>
      <c r="L87" s="154" t="n"/>
      <c r="M87" s="154" t="n"/>
      <c r="N87" s="154" t="n"/>
      <c r="O87" s="154" t="n"/>
      <c r="P87" s="154" t="n"/>
    </row>
    <row r="88" ht="18" customHeight="1" s="142">
      <c r="B88" s="140" t="inlineStr">
        <is>
          <t>3.  The prices quoted are based on 07-06-2026 LME Aluminium @USD3,592 /MT.</t>
        </is>
      </c>
      <c r="C88" s="140" t="n"/>
      <c r="D88" s="140" t="n"/>
      <c r="E88" s="140" t="n"/>
      <c r="F88" s="140" t="n"/>
      <c r="G88" s="140" t="n"/>
      <c r="H88" s="134" t="n"/>
      <c r="K88" s="162" t="n"/>
      <c r="L88" s="154" t="n"/>
      <c r="M88" s="154" t="n"/>
      <c r="N88" s="154" t="n"/>
      <c r="O88" s="154" t="n"/>
      <c r="P88" s="154" t="n"/>
    </row>
    <row r="89" ht="17.25" customHeight="1" s="142">
      <c r="B89" s="140" t="inlineStr">
        <is>
          <t>4.  Should any modification on factory standard dimensions are chargeable.</t>
        </is>
      </c>
      <c r="C89" s="140" t="n"/>
      <c r="D89" s="140" t="n"/>
      <c r="E89" s="140" t="n"/>
      <c r="F89" s="140" t="n"/>
      <c r="G89" s="140" t="n"/>
      <c r="H89" s="134" t="n"/>
      <c r="K89" s="154" t="n"/>
      <c r="L89" s="154" t="n"/>
      <c r="M89" s="154" t="n"/>
      <c r="N89" s="154" t="n"/>
      <c r="O89" s="154" t="n"/>
      <c r="P89" s="154" t="n"/>
    </row>
    <row r="90" ht="17.25" customHeight="1" s="142">
      <c r="B90" s="140" t="inlineStr">
        <is>
          <t>5.  All horizontal hanger support are by contractor.</t>
        </is>
      </c>
      <c r="C90" s="140" t="n"/>
      <c r="D90" s="140" t="n"/>
      <c r="E90" s="140" t="n"/>
      <c r="F90" s="140" t="n"/>
      <c r="G90" s="140" t="n"/>
      <c r="H90" s="134" t="n"/>
      <c r="K90" s="154" t="n"/>
      <c r="L90" s="154" t="n"/>
      <c r="M90" s="154" t="n"/>
      <c r="N90" s="154" t="n"/>
      <c r="O90" s="154" t="n"/>
      <c r="P90" s="154" t="n"/>
    </row>
    <row r="91" ht="17.25" customHeight="1" s="142">
      <c r="B91" s="140" t="inlineStr">
        <is>
          <t>6.  Any delivery to other than project site are subject to additional transportation surcharge.</t>
        </is>
      </c>
      <c r="C91" s="140" t="n"/>
      <c r="D91" s="140" t="n"/>
      <c r="E91" s="140" t="n"/>
      <c r="F91" s="140" t="n"/>
      <c r="G91" s="140" t="n"/>
      <c r="H91" s="134" t="n"/>
      <c r="K91" s="163" t="n"/>
      <c r="L91" s="164" t="n"/>
      <c r="M91" s="164" t="n"/>
      <c r="N91" s="164" t="n"/>
      <c r="O91" s="164" t="n"/>
      <c r="P91" s="164" t="n"/>
    </row>
    <row r="92" ht="17.25" customHeight="1" s="142">
      <c r="B92" s="140" t="inlineStr">
        <is>
          <t>7.  The prices quoted are EXCLUDING all installation works, all termination of the busway to panels or</t>
        </is>
      </c>
      <c r="C92" s="140" t="n"/>
      <c r="D92" s="140" t="n"/>
      <c r="E92" s="140" t="n"/>
      <c r="F92" s="140" t="n"/>
      <c r="G92" s="140" t="n"/>
      <c r="H92" s="134" t="n"/>
      <c r="K92" s="154" t="n"/>
      <c r="L92" s="154" t="n"/>
      <c r="M92" s="154" t="n"/>
      <c r="N92" s="154" t="n"/>
      <c r="O92" s="154" t="n"/>
      <c r="P92" s="154" t="n"/>
    </row>
    <row r="93" ht="17.25" customHeight="1" s="142">
      <c r="B93" s="140" t="inlineStr">
        <is>
          <t xml:space="preserve">     transformers, testing and commissioning at site.</t>
        </is>
      </c>
      <c r="C93" s="140" t="n"/>
      <c r="D93" s="140" t="n"/>
      <c r="E93" s="140" t="n"/>
      <c r="F93" s="140" t="n"/>
      <c r="G93" s="140" t="n"/>
      <c r="H93" s="134" t="n"/>
      <c r="K93" s="154" t="n"/>
      <c r="L93" s="154" t="n"/>
      <c r="M93" s="154" t="n"/>
      <c r="N93" s="154" t="n"/>
      <c r="O93" s="154" t="n"/>
      <c r="P93" s="154" t="n"/>
    </row>
    <row r="94" ht="17.25" customHeight="1" s="142">
      <c r="B94" s="140" t="inlineStr">
        <is>
          <t>8.  Warranty against manufacturing defects is 12 calendar months after delivery. This warranty does not</t>
        </is>
      </c>
      <c r="C94" s="140" t="n"/>
      <c r="D94" s="140" t="n"/>
      <c r="E94" s="140" t="n"/>
      <c r="F94" s="140" t="n"/>
      <c r="G94" s="140" t="n"/>
      <c r="H94" s="134" t="n"/>
      <c r="K94" s="154" t="n"/>
      <c r="L94" s="154" t="n"/>
      <c r="M94" s="154" t="n"/>
      <c r="N94" s="154" t="n"/>
      <c r="O94" s="154" t="n"/>
      <c r="P94" s="154" t="n"/>
    </row>
    <row r="95" ht="17.25" customHeight="1" s="142">
      <c r="B95" s="140" t="inlineStr">
        <is>
          <t xml:space="preserve">     cover reimbursement of consequential or incidental damages, labour, transportation, removal of the</t>
        </is>
      </c>
      <c r="C95" s="140" t="n"/>
      <c r="D95" s="140" t="n"/>
      <c r="E95" s="140" t="n"/>
      <c r="F95" s="140" t="n"/>
      <c r="G95" s="140" t="n"/>
      <c r="H95" s="134" t="n"/>
      <c r="K95" s="154" t="n"/>
      <c r="L95" s="154" t="n"/>
      <c r="M95" s="165" t="n"/>
      <c r="N95" s="165" t="n"/>
      <c r="O95" s="165" t="n"/>
      <c r="P95" s="165" t="n"/>
    </row>
    <row r="96" ht="17.25" customHeight="1" s="142">
      <c r="B96" s="140" t="inlineStr">
        <is>
          <t xml:space="preserve">     installation or any other expenses which may be incurred in connection with the repair and replacement.</t>
        </is>
      </c>
      <c r="C96" s="140" t="n"/>
      <c r="D96" s="140" t="n"/>
      <c r="E96" s="140" t="n"/>
      <c r="F96" s="140" t="n"/>
      <c r="G96" s="140" t="n"/>
      <c r="H96" s="134" t="n"/>
      <c r="K96" s="154" t="n"/>
      <c r="L96" s="154" t="n"/>
      <c r="M96" s="154" t="n"/>
      <c r="N96" s="154" t="n"/>
      <c r="O96" s="154" t="n"/>
      <c r="P96" s="154" t="n"/>
    </row>
    <row r="97" ht="15.75" customHeight="1" s="142">
      <c r="K97" s="154" t="n"/>
      <c r="L97" s="154" t="n"/>
      <c r="M97" s="154" t="n"/>
      <c r="N97" s="154" t="n"/>
      <c r="O97" s="154" t="n"/>
      <c r="P97" s="154" t="n"/>
    </row>
    <row r="98" ht="16.5" customHeight="1" s="142">
      <c r="B98" s="51" t="inlineStr">
        <is>
          <t>MIKRO BUSWAY SDN BERHAD</t>
        </is>
      </c>
      <c r="C98" s="51" t="n"/>
      <c r="G98" s="51" t="n"/>
      <c r="H98" s="51" t="n"/>
      <c r="K98" s="154" t="n"/>
      <c r="L98" s="154" t="n"/>
      <c r="M98" s="154" t="n"/>
      <c r="N98" s="154" t="n"/>
      <c r="O98" s="154" t="n"/>
      <c r="P98" s="154" t="n"/>
    </row>
    <row r="99">
      <c r="K99" s="154" t="n"/>
      <c r="L99" s="154" t="n"/>
      <c r="M99" s="154" t="n"/>
      <c r="N99" s="154" t="n"/>
      <c r="O99" s="154" t="n"/>
      <c r="P99" s="154" t="n"/>
    </row>
    <row r="100" ht="16.5" customHeight="1" s="142">
      <c r="B100" s="141" t="inlineStr">
        <is>
          <t>PREPARED BY:</t>
        </is>
      </c>
      <c r="F100" s="141" t="inlineStr">
        <is>
          <t>REVIEWED BY:</t>
        </is>
      </c>
      <c r="K100" s="154" t="n"/>
      <c r="L100" s="154" t="n"/>
      <c r="M100" s="154" t="n"/>
      <c r="N100" s="154" t="n"/>
      <c r="O100" s="154" t="n"/>
      <c r="P100" s="154" t="n"/>
    </row>
    <row r="101">
      <c r="K101" s="154" t="n"/>
      <c r="L101" s="154" t="n"/>
      <c r="M101" s="154" t="n"/>
      <c r="N101" s="154" t="n"/>
      <c r="O101" s="154" t="n"/>
      <c r="P101" s="154" t="n"/>
    </row>
    <row r="102" ht="16.5" customHeight="1" s="142">
      <c r="B102" s="144" t="n"/>
      <c r="F102" s="144" t="n"/>
      <c r="G102" s="145" t="n"/>
      <c r="H102" s="145" t="n"/>
    </row>
    <row r="103" ht="16.5" customHeight="1" s="142">
      <c r="B103" s="147" t="n"/>
      <c r="F103" s="147" t="n"/>
      <c r="G103" s="145" t="n"/>
      <c r="H103" s="145" t="n"/>
    </row>
    <row r="104" ht="16.5" customHeight="1" s="142">
      <c r="B104" s="149" t="n"/>
      <c r="F104" s="149" t="n"/>
      <c r="G104" s="145" t="n"/>
      <c r="H104" s="145" t="n"/>
    </row>
    <row r="105" ht="16.5" customHeight="1" s="142">
      <c r="B105" s="144" t="inlineStr">
        <is>
          <t xml:space="preserve">…………………………………………. </t>
        </is>
      </c>
      <c r="F105" s="144" t="inlineStr">
        <is>
          <t xml:space="preserve">…………………………………………. </t>
        </is>
      </c>
      <c r="G105" s="145" t="n"/>
      <c r="H105" s="145" t="n"/>
    </row>
    <row r="106" ht="16.5" customHeight="1" s="142">
      <c r="B106" s="151" t="inlineStr">
        <is>
          <t xml:space="preserve">FERHAD DANIEL </t>
        </is>
      </c>
      <c r="F106" s="151" t="inlineStr">
        <is>
          <t xml:space="preserve">GLADNESS LEE </t>
        </is>
      </c>
      <c r="G106" s="145" t="n"/>
      <c r="H106" s="145" t="n"/>
    </row>
    <row r="107" ht="16.5" customHeight="1" s="142">
      <c r="B107" s="144" t="inlineStr">
        <is>
          <t>Sales Administration</t>
        </is>
      </c>
      <c r="F107" s="144" t="inlineStr">
        <is>
          <t xml:space="preserve">Sales &amp; Marketing Excutive  </t>
        </is>
      </c>
      <c r="G107" s="145" t="n"/>
      <c r="H107" s="145" t="n"/>
    </row>
    <row r="108" ht="16.5" customHeight="1" s="142">
      <c r="B108" s="144" t="inlineStr">
        <is>
          <t>Mobile : (011) 2304 5638</t>
        </is>
      </c>
      <c r="F108" s="144" t="inlineStr">
        <is>
          <t xml:space="preserve">Mobile : (012) 377 1618 </t>
        </is>
      </c>
      <c r="G108" s="145" t="n"/>
      <c r="H108" s="145" t="n"/>
    </row>
    <row r="109" ht="16.5" customHeight="1" s="142">
      <c r="B109" s="144" t="inlineStr">
        <is>
          <t>Email : ferhad.d@itmikro.com</t>
        </is>
      </c>
      <c r="F109" s="144" t="inlineStr">
        <is>
          <t>Email : gladness@itmikro.com</t>
        </is>
      </c>
      <c r="G109" s="145" t="n"/>
      <c r="H109" s="145" t="n"/>
    </row>
  </sheetData>
  <mergeCells count="13">
    <mergeCell ref="A12:H12"/>
    <mergeCell ref="B109:C109"/>
    <mergeCell ref="F73:G73"/>
    <mergeCell ref="B106:C106"/>
    <mergeCell ref="B104:C104"/>
    <mergeCell ref="B103:C103"/>
    <mergeCell ref="B107:C107"/>
    <mergeCell ref="B101:C101"/>
    <mergeCell ref="B75:G75"/>
    <mergeCell ref="B108:C108"/>
    <mergeCell ref="B102:C102"/>
    <mergeCell ref="B105:C105"/>
    <mergeCell ref="B16:D16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ferhad daniel</dc:creator>
  <dcterms:created xsi:type="dcterms:W3CDTF">2026-06-24T01:17:01Z</dcterms:created>
  <dcterms:modified xsi:type="dcterms:W3CDTF">2026-08-11T09:02:54Z</dcterms:modified>
  <cp:lastModifiedBy>ferhad daniel</cp:lastModifiedBy>
</cp:coreProperties>
</file>