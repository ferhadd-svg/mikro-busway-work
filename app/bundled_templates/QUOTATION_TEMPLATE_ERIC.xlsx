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RM&quot;#,##0.00"/>
  </numFmts>
  <fonts count="3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2"/>
    </font>
    <font>
      <name val="Arial Unicode MS"/>
      <family val="2"/>
      <b val="1"/>
      <sz val="18"/>
      <u val="single"/>
    </font>
    <font>
      <name val="Arial Unicode MS"/>
      <family val="2"/>
      <b val="1"/>
      <sz val="12"/>
      <u val="single"/>
    </font>
    <font>
      <name val="Arial Unicode MS"/>
      <family val="2"/>
      <b val="1"/>
      <sz val="16"/>
      <u val="single"/>
    </font>
    <font>
      <name val="Arial Unicode MS"/>
      <family val="2"/>
      <sz val="12"/>
    </font>
    <font>
      <name val="VNI-Times"/>
      <family val="2"/>
      <sz val="10"/>
    </font>
    <font>
      <name val="Arial Unicode MS"/>
      <family val="2"/>
      <sz val="11"/>
    </font>
    <font>
      <name val="Arial Unicode MS"/>
      <family val="2"/>
      <sz val="10"/>
    </font>
    <font>
      <name val="Arial Unicode MS"/>
      <family val="2"/>
      <sz val="9"/>
    </font>
    <font>
      <name val="Times New Roman"/>
      <family val="1"/>
      <sz val="11"/>
    </font>
    <font>
      <name val="Arial Unicode MS"/>
      <family val="2"/>
      <b val="1"/>
      <sz val="10"/>
    </font>
    <font>
      <name val="Times New Roman"/>
      <family val="1"/>
      <b val="1"/>
      <sz val="10"/>
    </font>
    <font>
      <name val="Arial Unicode MS"/>
      <family val="2"/>
      <b val="1"/>
      <sz val="12"/>
    </font>
    <font>
      <name val="Arial Unicode MS"/>
      <family val="2"/>
      <b val="1"/>
      <sz val="14"/>
    </font>
    <font>
      <name val="Arial Unicode MS"/>
      <family val="2"/>
      <b val="1"/>
      <sz val="11"/>
    </font>
    <font>
      <name val="Arial Unicode MS"/>
      <family val="2"/>
      <b val="1"/>
      <sz val="11"/>
      <u val="single"/>
    </font>
    <font>
      <name val="Arial Unicode MS"/>
      <family val="2"/>
      <b val="1"/>
      <i val="1"/>
      <sz val="14"/>
      <u val="single"/>
    </font>
    <font>
      <name val="Arial Unicode MS"/>
      <family val="2"/>
      <b val="1"/>
      <i val="1"/>
      <sz val="12"/>
      <u val="single"/>
    </font>
    <font>
      <name val="Arial Unicode MS"/>
      <family val="2"/>
      <sz val="12"/>
      <u val="single"/>
    </font>
    <font>
      <name val="Arial Unicode MS"/>
      <family val="2"/>
      <b val="1"/>
      <sz val="14"/>
      <u val="single"/>
    </font>
    <font>
      <name val="Arial Unicode MS"/>
      <family val="2"/>
      <sz val="14"/>
    </font>
    <font>
      <name val="Arial Unicode MS"/>
      <family val="2"/>
      <b val="1"/>
      <color theme="1"/>
      <sz val="11"/>
    </font>
    <font>
      <name val="Times New Roman"/>
      <family val="1"/>
      <sz val="10"/>
    </font>
    <font>
      <name val="Arial Unicode MS"/>
      <family val="2"/>
      <b val="1"/>
      <i val="1"/>
      <sz val="11"/>
    </font>
    <font>
      <name val="Arial"/>
      <family val="2"/>
      <sz val="16"/>
      <u val="single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sz val="14"/>
    </font>
    <font>
      <name val="Arial"/>
      <family val="2"/>
      <b val="1"/>
      <sz val="14"/>
      <u val="single"/>
    </font>
    <font>
      <name val="Arial"/>
      <family val="2"/>
      <sz val="11"/>
    </font>
    <font>
      <name val="Calibri"/>
      <family val="2"/>
      <color rgb="FFFF0000"/>
      <sz val="14"/>
      <scheme val="minor"/>
    </font>
  </fonts>
  <fills count="4">
    <fill>
      <patternFill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1" fillId="0" borderId="0"/>
    <xf numFmtId="43" fontId="1" fillId="0" borderId="0"/>
    <xf numFmtId="43" fontId="7" fillId="0" borderId="0"/>
  </cellStyleXfs>
  <cellXfs count="16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right"/>
    </xf>
    <xf numFmtId="4" fontId="6" fillId="0" borderId="0" pivotButton="0" quotePrefix="0" xfId="2"/>
    <xf numFmtId="0" fontId="6" fillId="0" borderId="0" pivotButton="0" quotePrefix="0" xfId="0"/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" fontId="10" fillId="0" borderId="0" applyAlignment="1" pivotButton="0" quotePrefix="0" xfId="0">
      <alignment horizontal="right" vertical="center"/>
    </xf>
    <xf numFmtId="4" fontId="10" fillId="0" borderId="0" applyAlignment="1" pivotButton="0" quotePrefix="0" xfId="2">
      <alignment vertical="center"/>
    </xf>
    <xf numFmtId="0" fontId="10" fillId="0" borderId="0" applyAlignment="1" pivotButton="0" quotePrefix="0" xfId="0">
      <alignment vertical="center"/>
    </xf>
    <xf numFmtId="1" fontId="10" fillId="0" borderId="0" applyAlignment="1" pivotButton="0" quotePrefix="0" xfId="0">
      <alignment horizontal="right"/>
    </xf>
    <xf numFmtId="4" fontId="10" fillId="0" borderId="0" pivotButton="0" quotePrefix="0" xfId="2"/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11" fillId="0" borderId="0" pivotButton="0" quotePrefix="0" xfId="0"/>
    <xf numFmtId="1" fontId="8" fillId="0" borderId="0" applyAlignment="1" pivotButton="0" quotePrefix="0" xfId="2">
      <alignment horizontal="right"/>
    </xf>
    <xf numFmtId="4" fontId="8" fillId="0" borderId="0" applyAlignment="1" pivotButton="0" quotePrefix="0" xfId="2">
      <alignment horizontal="right"/>
    </xf>
    <xf numFmtId="40" fontId="8" fillId="0" borderId="0" applyAlignment="1" pivotButton="0" quotePrefix="0" xfId="2">
      <alignment horizontal="right"/>
    </xf>
    <xf numFmtId="0" fontId="12" fillId="0" borderId="0" applyAlignment="1" pivotButton="0" quotePrefix="0" xfId="0">
      <alignment vertical="center"/>
    </xf>
    <xf numFmtId="0" fontId="12" fillId="0" borderId="0" pivotButton="0" quotePrefix="0" xfId="0"/>
    <xf numFmtId="164" fontId="13" fillId="0" borderId="0" applyAlignment="1" pivotButton="0" quotePrefix="0" xfId="2">
      <alignment horizontal="center"/>
    </xf>
    <xf numFmtId="1" fontId="11" fillId="0" borderId="0" applyAlignment="1" pivotButton="0" quotePrefix="0" xfId="2">
      <alignment horizontal="right"/>
    </xf>
    <xf numFmtId="4" fontId="11" fillId="0" borderId="0" applyAlignment="1" pivotButton="0" quotePrefix="0" xfId="2">
      <alignment horizontal="right"/>
    </xf>
    <xf numFmtId="40" fontId="11" fillId="0" borderId="0" applyAlignment="1" pivotButton="0" quotePrefix="0" xfId="2">
      <alignment horizontal="right"/>
    </xf>
    <xf numFmtId="0" fontId="8" fillId="0" borderId="1" applyAlignment="1" pivotButton="0" quotePrefix="0" xfId="0">
      <alignment horizontal="left" vertical="center"/>
    </xf>
    <xf numFmtId="0" fontId="6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8" fillId="0" borderId="3" applyAlignment="1" pivotButton="0" quotePrefix="0" xfId="0">
      <alignment vertical="center"/>
    </xf>
    <xf numFmtId="164" fontId="6" fillId="0" borderId="2" applyAlignment="1" pivotButton="0" quotePrefix="0" xfId="2">
      <alignment vertical="center"/>
    </xf>
    <xf numFmtId="4" fontId="6" fillId="0" borderId="2" applyAlignment="1" pivotButton="0" quotePrefix="0" xfId="2">
      <alignment vertical="center"/>
    </xf>
    <xf numFmtId="40" fontId="8" fillId="0" borderId="4" applyAlignment="1" pivotButton="0" quotePrefix="0" xfId="2">
      <alignment horizontal="right" vertical="center"/>
    </xf>
    <xf numFmtId="0" fontId="14" fillId="0" borderId="2" applyAlignment="1" pivotButton="0" quotePrefix="0" xfId="0">
      <alignment vertical="center"/>
    </xf>
    <xf numFmtId="0" fontId="6" fillId="0" borderId="3" applyAlignment="1" pivotButton="0" quotePrefix="0" xfId="0">
      <alignment vertical="center"/>
    </xf>
    <xf numFmtId="0" fontId="6" fillId="0" borderId="0" applyAlignment="1" pivotButton="0" quotePrefix="0" xfId="0">
      <alignment horizontal="center"/>
    </xf>
    <xf numFmtId="164" fontId="12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right"/>
    </xf>
    <xf numFmtId="4" fontId="6" fillId="0" borderId="0" applyAlignment="1" pivotButton="0" quotePrefix="0" xfId="2">
      <alignment horizontal="right"/>
    </xf>
    <xf numFmtId="40" fontId="6" fillId="0" borderId="0" applyAlignment="1" pivotButton="0" quotePrefix="0" xfId="2">
      <alignment horizontal="right"/>
    </xf>
    <xf numFmtId="0" fontId="15" fillId="0" borderId="0" applyAlignment="1" pivotButton="0" quotePrefix="0" xfId="0">
      <alignment horizontal="center"/>
    </xf>
    <xf numFmtId="4" fontId="15" fillId="0" borderId="0" applyAlignment="1" pivotButton="0" quotePrefix="0" xfId="2">
      <alignment horizontal="center"/>
    </xf>
    <xf numFmtId="0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1" fontId="14" fillId="0" borderId="0" applyAlignment="1" pivotButton="0" quotePrefix="0" xfId="2">
      <alignment horizontal="right"/>
    </xf>
    <xf numFmtId="4" fontId="14" fillId="0" borderId="0" applyAlignment="1" pivotButton="0" quotePrefix="0" xfId="2">
      <alignment horizontal="right"/>
    </xf>
    <xf numFmtId="40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6" fillId="0" borderId="0" pivotButton="0" quotePrefix="0" xfId="0"/>
    <xf numFmtId="0" fontId="14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1" fontId="14" fillId="2" borderId="1" applyAlignment="1" pivotButton="0" quotePrefix="0" xfId="2">
      <alignment horizontal="center" vertical="center"/>
    </xf>
    <xf numFmtId="4" fontId="14" fillId="2" borderId="1" applyAlignment="1" pivotButton="0" quotePrefix="0" xfId="2">
      <alignment horizontal="center" vertical="center"/>
    </xf>
    <xf numFmtId="40" fontId="14" fillId="2" borderId="1" applyAlignment="1" pivotButton="0" quotePrefix="0" xfId="2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7" fillId="0" borderId="6" applyAlignment="1" pivotButton="0" quotePrefix="0" xfId="0">
      <alignment horizontal="left" vertical="center"/>
    </xf>
    <xf numFmtId="0" fontId="17" fillId="0" borderId="7" applyAlignment="1" pivotButton="0" quotePrefix="0" xfId="0">
      <alignment horizontal="left" vertical="center"/>
    </xf>
    <xf numFmtId="0" fontId="16" fillId="0" borderId="8" applyAlignment="1" pivotButton="0" quotePrefix="0" xfId="0">
      <alignment horizontal="center" vertical="center"/>
    </xf>
    <xf numFmtId="0" fontId="17" fillId="0" borderId="5" pivotButton="0" quotePrefix="0" xfId="0"/>
    <xf numFmtId="4" fontId="17" fillId="0" borderId="7" pivotButton="0" quotePrefix="0" xfId="2"/>
    <xf numFmtId="0" fontId="17" fillId="0" borderId="5" applyAlignment="1" pivotButton="0" quotePrefix="0" xfId="0">
      <alignment horizontal="right"/>
    </xf>
    <xf numFmtId="0" fontId="14" fillId="0" borderId="9" applyAlignment="1" pivotButton="0" quotePrefix="0" xfId="0">
      <alignment horizontal="center" vertical="center"/>
    </xf>
    <xf numFmtId="0" fontId="18" fillId="0" borderId="10" applyAlignment="1" pivotButton="0" quotePrefix="0" xfId="0">
      <alignment horizontal="left" vertical="center"/>
    </xf>
    <xf numFmtId="0" fontId="18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center"/>
    </xf>
    <xf numFmtId="0" fontId="14" fillId="0" borderId="9" applyAlignment="1" pivotButton="0" quotePrefix="0" xfId="0">
      <alignment horizontal="center"/>
    </xf>
    <xf numFmtId="1" fontId="6" fillId="0" borderId="9" applyAlignment="1" pivotButton="0" quotePrefix="0" xfId="2">
      <alignment horizontal="right"/>
    </xf>
    <xf numFmtId="40" fontId="6" fillId="0" borderId="9" applyAlignment="1" pivotButton="0" quotePrefix="0" xfId="0">
      <alignment horizontal="right"/>
    </xf>
    <xf numFmtId="0" fontId="4" fillId="0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14" fillId="0" borderId="13" applyAlignment="1" pivotButton="0" quotePrefix="0" xfId="0">
      <alignment horizontal="center"/>
    </xf>
    <xf numFmtId="1" fontId="6" fillId="0" borderId="12" applyAlignment="1" pivotButton="0" quotePrefix="0" xfId="2">
      <alignment horizontal="right"/>
    </xf>
    <xf numFmtId="0" fontId="6" fillId="0" borderId="9" applyAlignment="1" pivotButton="0" quotePrefix="0" xfId="0">
      <alignment horizontal="center" vertical="center"/>
    </xf>
    <xf numFmtId="0" fontId="6" fillId="0" borderId="10" pivotButton="0" quotePrefix="0" xfId="0"/>
    <xf numFmtId="0" fontId="6" fillId="0" borderId="11" pivotButton="0" quotePrefix="0" xfId="0"/>
    <xf numFmtId="0" fontId="14" fillId="0" borderId="12" applyAlignment="1" pivotButton="0" quotePrefix="0" xfId="0">
      <alignment horizontal="center"/>
    </xf>
    <xf numFmtId="1" fontId="6" fillId="0" borderId="13" applyAlignment="1" pivotButton="0" quotePrefix="0" xfId="2">
      <alignment horizontal="right"/>
    </xf>
    <xf numFmtId="0" fontId="8" fillId="0" borderId="12" applyAlignment="1" pivotButton="0" quotePrefix="0" xfId="0">
      <alignment horizontal="center"/>
    </xf>
    <xf numFmtId="40" fontId="6" fillId="0" borderId="9" applyAlignment="1" pivotButton="0" quotePrefix="0" xfId="2">
      <alignment horizontal="right" vertical="center"/>
    </xf>
    <xf numFmtId="1" fontId="6" fillId="0" borderId="9" applyAlignment="1" pivotButton="0" quotePrefix="0" xfId="2">
      <alignment horizontal="right"/>
    </xf>
    <xf numFmtId="0" fontId="8" fillId="0" borderId="9" applyAlignment="1" pivotButton="0" quotePrefix="0" xfId="0">
      <alignment horizontal="center"/>
    </xf>
    <xf numFmtId="0" fontId="19" fillId="0" borderId="10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15" pivotButton="0" quotePrefix="0" xfId="0"/>
    <xf numFmtId="0" fontId="6" fillId="0" borderId="16" pivotButton="0" quotePrefix="0" xfId="0"/>
    <xf numFmtId="0" fontId="14" fillId="0" borderId="17" applyAlignment="1" pivotButton="0" quotePrefix="0" xfId="0">
      <alignment horizontal="center"/>
    </xf>
    <xf numFmtId="1" fontId="6" fillId="0" borderId="14" applyAlignment="1" pivotButton="0" quotePrefix="0" xfId="2">
      <alignment horizontal="right"/>
    </xf>
    <xf numFmtId="0" fontId="6" fillId="0" borderId="14" applyAlignment="1" pivotButton="0" quotePrefix="0" xfId="0">
      <alignment horizontal="center"/>
    </xf>
    <xf numFmtId="40" fontId="6" fillId="0" borderId="18" applyAlignment="1" pivotButton="0" quotePrefix="0" xfId="0">
      <alignment horizontal="right"/>
    </xf>
    <xf numFmtId="165" fontId="14" fillId="0" borderId="18" applyAlignment="1" pivotButton="0" quotePrefix="0" xfId="2">
      <alignment horizontal="right" vertical="center"/>
    </xf>
    <xf numFmtId="0" fontId="14" fillId="0" borderId="5" applyAlignment="1" pivotButton="0" quotePrefix="0" xfId="0">
      <alignment horizontal="center" vertical="center"/>
    </xf>
    <xf numFmtId="0" fontId="18" fillId="0" borderId="6" applyAlignment="1" pivotButton="0" quotePrefix="0" xfId="0">
      <alignment horizontal="left" vertical="center"/>
    </xf>
    <xf numFmtId="0" fontId="18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1" fontId="6" fillId="0" borderId="5" applyAlignment="1" pivotButton="0" quotePrefix="0" xfId="2">
      <alignment horizontal="right"/>
    </xf>
    <xf numFmtId="40" fontId="6" fillId="0" borderId="5" applyAlignment="1" pivotButton="0" quotePrefix="0" xfId="0">
      <alignment horizontal="right"/>
    </xf>
    <xf numFmtId="0" fontId="6" fillId="0" borderId="19" applyAlignment="1" pivotButton="0" quotePrefix="0" xfId="0">
      <alignment horizontal="center" vertical="center"/>
    </xf>
    <xf numFmtId="0" fontId="6" fillId="0" borderId="20" pivotButton="0" quotePrefix="0" xfId="0"/>
    <xf numFmtId="0" fontId="14" fillId="0" borderId="21" applyAlignment="1" pivotButton="0" quotePrefix="0" xfId="0">
      <alignment horizontal="center"/>
    </xf>
    <xf numFmtId="1" fontId="6" fillId="0" borderId="19" applyAlignment="1" pivotButton="0" quotePrefix="0" xfId="2">
      <alignment horizontal="right"/>
    </xf>
    <xf numFmtId="0" fontId="6" fillId="0" borderId="19" applyAlignment="1" pivotButton="0" quotePrefix="0" xfId="0">
      <alignment horizontal="center"/>
    </xf>
    <xf numFmtId="40" fontId="6" fillId="0" borderId="22" applyAlignment="1" pivotButton="0" quotePrefix="0" xfId="0">
      <alignment horizontal="right"/>
    </xf>
    <xf numFmtId="40" fontId="14" fillId="0" borderId="22" applyAlignment="1" pivotButton="0" quotePrefix="0" xfId="2">
      <alignment horizontal="right" vertical="center"/>
    </xf>
    <xf numFmtId="0" fontId="11" fillId="0" borderId="23" applyAlignment="1" pivotButton="0" quotePrefix="0" xfId="0">
      <alignment horizontal="center"/>
    </xf>
    <xf numFmtId="0" fontId="14" fillId="0" borderId="24" applyAlignment="1" pivotButton="0" quotePrefix="0" xfId="0">
      <alignment vertical="center" wrapText="1"/>
    </xf>
    <xf numFmtId="0" fontId="14" fillId="0" borderId="25" applyAlignment="1" pivotButton="0" quotePrefix="0" xfId="0">
      <alignment vertical="center" wrapText="1"/>
    </xf>
    <xf numFmtId="0" fontId="14" fillId="0" borderId="26" applyAlignment="1" pivotButton="0" quotePrefix="0" xfId="0">
      <alignment horizontal="right" vertical="center" wrapText="1"/>
    </xf>
    <xf numFmtId="0" fontId="14" fillId="0" borderId="27" applyAlignment="1" pivotButton="0" quotePrefix="0" xfId="0">
      <alignment horizontal="right" vertical="center" wrapText="1"/>
    </xf>
    <xf numFmtId="165" fontId="23" fillId="0" borderId="28" pivotButton="0" quotePrefix="0" xfId="0"/>
    <xf numFmtId="0" fontId="11" fillId="0" borderId="29" applyAlignment="1" pivotButton="0" quotePrefix="0" xfId="0">
      <alignment horizontal="center"/>
    </xf>
    <xf numFmtId="0" fontId="14" fillId="0" borderId="3" applyAlignment="1" pivotButton="0" quotePrefix="0" xfId="0">
      <alignment vertical="center" wrapText="1"/>
    </xf>
    <xf numFmtId="0" fontId="14" fillId="0" borderId="2" applyAlignment="1" pivotButton="0" quotePrefix="0" xfId="0">
      <alignment vertical="center" wrapText="1"/>
    </xf>
    <xf numFmtId="0" fontId="14" fillId="0" borderId="4" applyAlignment="1" pivotButton="0" quotePrefix="0" xfId="0">
      <alignment horizontal="right" vertical="center" wrapText="1"/>
    </xf>
    <xf numFmtId="165" fontId="23" fillId="0" borderId="30" pivotButton="0" quotePrefix="0" xfId="0"/>
    <xf numFmtId="0" fontId="11" fillId="0" borderId="31" applyAlignment="1" pivotButton="0" quotePrefix="0" xfId="0">
      <alignment horizontal="center"/>
    </xf>
    <xf numFmtId="0" fontId="14" fillId="0" borderId="32" applyAlignment="1" pivotButton="0" quotePrefix="0" xfId="0">
      <alignment horizontal="right" vertical="center" wrapText="1"/>
    </xf>
    <xf numFmtId="165" fontId="23" fillId="0" borderId="33" pivotButton="0" quotePrefix="0" xfId="0"/>
    <xf numFmtId="0" fontId="1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" fontId="6" fillId="0" borderId="0" applyAlignment="1" pivotButton="0" quotePrefix="0" xfId="2">
      <alignment horizontal="right" vertical="center"/>
    </xf>
    <xf numFmtId="40" fontId="6" fillId="0" borderId="0" applyAlignment="1" pivotButton="0" quotePrefix="0" xfId="2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/>
    </xf>
    <xf numFmtId="0" fontId="8" fillId="0" borderId="0" pivotButton="0" quotePrefix="0" xfId="0"/>
    <xf numFmtId="0" fontId="24" fillId="0" borderId="0" applyAlignment="1" pivotButton="0" quotePrefix="0" xfId="0">
      <alignment horizontal="center"/>
    </xf>
    <xf numFmtId="0" fontId="25" fillId="0" borderId="0" pivotButton="0" quotePrefix="0" xfId="0"/>
    <xf numFmtId="0" fontId="1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1" fontId="8" fillId="0" borderId="0" applyAlignment="1" pivotButton="0" quotePrefix="0" xfId="2">
      <alignment horizontal="left"/>
    </xf>
    <xf numFmtId="0" fontId="14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right" vertical="center"/>
    </xf>
    <xf numFmtId="0" fontId="28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1" fontId="27" fillId="0" borderId="0" applyAlignment="1" pivotButton="0" quotePrefix="0" xfId="1">
      <alignment horizontal="right" vertical="center"/>
    </xf>
    <xf numFmtId="40" fontId="27" fillId="0" borderId="0" applyAlignment="1" pivotButton="0" quotePrefix="0" xfId="1">
      <alignment horizontal="right" vertical="center"/>
    </xf>
    <xf numFmtId="0" fontId="30" fillId="0" borderId="0" applyAlignment="1" pivotButton="0" quotePrefix="0" xfId="0">
      <alignment horizontal="left" vertical="center"/>
    </xf>
    <xf numFmtId="0" fontId="28" fillId="3" borderId="0" applyAlignment="1" pivotButton="0" quotePrefix="0" xfId="0">
      <alignment horizontal="left" vertical="center"/>
    </xf>
    <xf numFmtId="0" fontId="27" fillId="3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164" fontId="13" fillId="0" borderId="0" applyAlignment="1" pivotButton="0" quotePrefix="0" xfId="2">
      <alignment horizontal="center"/>
    </xf>
    <xf numFmtId="164" fontId="6" fillId="0" borderId="2" applyAlignment="1" pivotButton="0" quotePrefix="0" xfId="2">
      <alignment vertical="center"/>
    </xf>
    <xf numFmtId="164" fontId="12" fillId="0" borderId="0" applyAlignment="1" pivotButton="0" quotePrefix="0" xfId="2">
      <alignment horizontal="center"/>
    </xf>
    <xf numFmtId="0" fontId="0" fillId="0" borderId="2" pivotButton="0" quotePrefix="0" xfId="0"/>
    <xf numFmtId="0" fontId="0" fillId="0" borderId="4" pivotButton="0" quotePrefix="0" xfId="0"/>
    <xf numFmtId="165" fontId="14" fillId="0" borderId="18" applyAlignment="1" pivotButton="0" quotePrefix="0" xfId="2">
      <alignment horizontal="right" vertical="center"/>
    </xf>
    <xf numFmtId="0" fontId="0" fillId="0" borderId="26" pivotButton="0" quotePrefix="0" xfId="0"/>
    <xf numFmtId="165" fontId="23" fillId="0" borderId="28" pivotButton="0" quotePrefix="0" xfId="0"/>
    <xf numFmtId="165" fontId="23" fillId="0" borderId="30" pivotButton="0" quotePrefix="0" xfId="0"/>
    <xf numFmtId="0" fontId="0" fillId="0" borderId="38" pivotButton="0" quotePrefix="0" xfId="0"/>
    <xf numFmtId="0" fontId="0" fillId="0" borderId="39" pivotButton="0" quotePrefix="0" xfId="0"/>
    <xf numFmtId="165" fontId="23" fillId="0" borderId="33" pivotButton="0" quotePrefix="0" xfId="0"/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210989</colOff>
      <row>0</row>
      <rowOff>121554</rowOff>
    </from>
    <to>
      <col>2</col>
      <colOff>1685925</colOff>
      <row>5</row>
      <rowOff>124166</rowOff>
    </to>
    <pic>
      <nvPicPr>
        <cNvPr id="2" name="Picture 3" descr="Mikro Logo.jpg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210989" y="121554"/>
          <a:ext cx="2875111" cy="1183712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381000</colOff>
      <row>70</row>
      <rowOff>47625</rowOff>
    </from>
    <to>
      <col>6</col>
      <colOff>552450</colOff>
      <row>75</row>
      <rowOff>123824</rowOff>
    </to>
    <pic>
      <nvPicPr>
        <cNvPr id="6" name="Picture 2"/>
        <cNvPicPr>
          <a:picLocks noChangeAspect="1" noChangeArrowheads="1"/>
        </cNvPicPr>
      </nvPicPr>
      <blipFill>
        <a:blip cstate="print" r:embed="rId2">
          <clrChange>
            <clrFrom/>
            <clrTo/>
          </clrChange>
        </a:blip>
        <a:srcRect/>
        <a:stretch>
          <a:fillRect/>
        </a:stretch>
      </blipFill>
      <spPr bwMode="auto">
        <a:xfrm>
          <a:off x="4933950" y="15649575"/>
          <a:ext cx="1733550" cy="1028699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8"/>
  <sheetViews>
    <sheetView tabSelected="1" topLeftCell="D35" zoomScale="93" zoomScaleNormal="93" workbookViewId="0">
      <selection activeCell="L44" sqref="L44:V68"/>
    </sheetView>
  </sheetViews>
  <sheetFormatPr baseColWidth="8" defaultRowHeight="15"/>
  <cols>
    <col width="5" customWidth="1" min="1" max="1"/>
    <col width="16" customWidth="1" min="2" max="2"/>
    <col width="27.5703125" customWidth="1" min="3" max="3"/>
    <col width="7.140625" customWidth="1" min="4" max="4"/>
    <col width="11.7109375" customWidth="1" min="5" max="6"/>
    <col width="20.28515625" customWidth="1" min="7" max="8"/>
    <col width="17.5703125" customWidth="1" min="12" max="12"/>
  </cols>
  <sheetData>
    <row r="1" ht="27" customHeight="1">
      <c r="A1" s="1" t="n"/>
      <c r="B1" s="1" t="n"/>
      <c r="C1" s="1" t="n"/>
      <c r="D1" s="2" t="inlineStr">
        <is>
          <t>MIKRO BUSWAY SDN BHD (201001002004)</t>
        </is>
      </c>
      <c r="E1" s="3" t="n"/>
      <c r="F1" s="4" t="n"/>
      <c r="G1" s="5" t="n"/>
      <c r="H1" s="6" t="n"/>
    </row>
    <row r="2" ht="16.5" customHeight="1">
      <c r="A2" s="7" t="n"/>
      <c r="B2" s="7" t="n"/>
      <c r="C2" s="7" t="n"/>
      <c r="D2" s="8" t="inlineStr">
        <is>
          <t>No. 61 &amp; 62, Jalan Platinum 5/3,</t>
        </is>
      </c>
      <c r="E2" s="9" t="n"/>
      <c r="F2" s="10" t="n"/>
      <c r="G2" s="11" t="n"/>
      <c r="H2" s="12" t="n"/>
    </row>
    <row r="3" ht="16.5" customHeight="1">
      <c r="A3" s="1" t="n"/>
      <c r="B3" s="1" t="n"/>
      <c r="C3" s="1" t="n"/>
      <c r="D3" s="8" t="inlineStr">
        <is>
          <t>Pusat Perdagangan Nilai Impian XME,</t>
        </is>
      </c>
      <c r="E3" s="9" t="n"/>
      <c r="F3" s="13" t="n"/>
      <c r="G3" s="14" t="n"/>
      <c r="H3" s="15" t="n"/>
    </row>
    <row r="4" ht="16.5" customHeight="1">
      <c r="A4" s="1" t="n"/>
      <c r="B4" s="1" t="n"/>
      <c r="C4" s="1" t="n"/>
      <c r="D4" s="8" t="inlineStr">
        <is>
          <t>71800, Nilai, Negeri Sembilan, Malaysia.</t>
        </is>
      </c>
      <c r="E4" s="9" t="n"/>
      <c r="F4" s="13" t="n"/>
      <c r="G4" s="14" t="n"/>
      <c r="H4" s="15" t="n"/>
    </row>
    <row r="5" ht="16.5" customHeight="1">
      <c r="A5" s="16" t="n"/>
      <c r="B5" s="17" t="n"/>
      <c r="C5" s="17" t="n"/>
      <c r="D5" s="8" t="inlineStr">
        <is>
          <t>Tel: +606-795 3362       Email: busway@itmikro.com</t>
        </is>
      </c>
      <c r="E5" s="9" t="n"/>
      <c r="F5" s="18" t="n"/>
      <c r="G5" s="19" t="n"/>
      <c r="H5" s="20" t="n"/>
    </row>
    <row r="6" ht="16.5" customHeight="1">
      <c r="A6" s="16" t="n"/>
      <c r="B6" s="17" t="n"/>
      <c r="C6" s="17" t="n"/>
      <c r="D6" s="21" t="inlineStr">
        <is>
          <t>SST NO : N10-1808-21016496</t>
        </is>
      </c>
      <c r="E6" s="22" t="n"/>
      <c r="F6" s="18" t="n"/>
      <c r="G6" s="19" t="n"/>
      <c r="H6" s="20" t="n"/>
    </row>
    <row r="7">
      <c r="A7" s="16" t="n"/>
      <c r="B7" s="17" t="n"/>
      <c r="C7" s="17" t="n"/>
      <c r="D7" s="17" t="n"/>
      <c r="E7" s="154" t="n"/>
      <c r="F7" s="24" t="n"/>
      <c r="G7" s="25" t="n"/>
      <c r="H7" s="26" t="n"/>
    </row>
    <row r="8" ht="17.25" customHeight="1">
      <c r="A8" s="27" t="inlineStr">
        <is>
          <t>To</t>
        </is>
      </c>
      <c r="B8" s="28" t="inlineStr">
        <is>
          <t xml:space="preserve">: </t>
        </is>
      </c>
      <c r="C8" s="28" t="n"/>
      <c r="D8" s="29" t="n"/>
      <c r="E8" s="30" t="inlineStr">
        <is>
          <t>Date</t>
        </is>
      </c>
      <c r="F8" s="155" t="inlineStr">
        <is>
          <t xml:space="preserve">: </t>
        </is>
      </c>
      <c r="G8" s="32" t="n"/>
      <c r="H8" s="33" t="n"/>
    </row>
    <row r="9" ht="17.25" customHeight="1">
      <c r="A9" s="27" t="inlineStr">
        <is>
          <t>Attn</t>
        </is>
      </c>
      <c r="B9" s="28" t="inlineStr">
        <is>
          <t xml:space="preserve">: </t>
        </is>
      </c>
      <c r="C9" s="34" t="n"/>
      <c r="D9" s="29" t="n"/>
      <c r="E9" s="30" t="inlineStr">
        <is>
          <t>Tel</t>
        </is>
      </c>
      <c r="F9" s="155" t="inlineStr">
        <is>
          <t xml:space="preserve">: </t>
        </is>
      </c>
      <c r="G9" s="32" t="n"/>
      <c r="H9" s="33" t="n"/>
    </row>
    <row r="10" ht="17.25" customHeight="1">
      <c r="A10" s="27" t="inlineStr">
        <is>
          <t>From</t>
        </is>
      </c>
      <c r="B10" s="35" t="inlineStr">
        <is>
          <t xml:space="preserve">: </t>
        </is>
      </c>
      <c r="C10" s="28" t="n"/>
      <c r="D10" s="29" t="n"/>
      <c r="E10" s="30" t="inlineStr">
        <is>
          <t>Fax / Email</t>
        </is>
      </c>
      <c r="F10" s="155" t="inlineStr">
        <is>
          <t xml:space="preserve">: </t>
        </is>
      </c>
      <c r="G10" s="32" t="n"/>
      <c r="H10" s="33" t="n"/>
    </row>
    <row r="11" ht="17.25" customHeight="1">
      <c r="A11" s="36" t="n"/>
      <c r="B11" s="6" t="n"/>
      <c r="C11" s="6" t="n"/>
      <c r="D11" s="6" t="n"/>
      <c r="E11" s="156" t="n"/>
      <c r="F11" s="38" t="n"/>
      <c r="G11" s="39" t="n"/>
      <c r="H11" s="40" t="n"/>
    </row>
    <row r="12" ht="17.25" customHeight="1">
      <c r="A12" s="41" t="inlineStr">
        <is>
          <t>QUOTATION</t>
        </is>
      </c>
    </row>
    <row r="13" ht="17.25" customHeight="1">
      <c r="A13" s="43" t="n"/>
      <c r="B13" s="43" t="n"/>
      <c r="C13" s="43" t="n"/>
      <c r="D13" s="43" t="n"/>
      <c r="E13" s="44" t="n"/>
      <c r="F13" s="45" t="n"/>
      <c r="G13" s="46" t="n"/>
      <c r="H13" s="47" t="n"/>
    </row>
    <row r="14" ht="17.25" customHeight="1">
      <c r="A14" s="48" t="inlineStr">
        <is>
          <t xml:space="preserve">OUR REF    : </t>
        </is>
      </c>
      <c r="B14" s="49" t="n"/>
      <c r="C14" s="49" t="n"/>
      <c r="D14" s="43" t="n"/>
      <c r="F14" s="43" t="n"/>
      <c r="G14" s="50" t="inlineStr">
        <is>
          <t xml:space="preserve">M&amp;E : </t>
        </is>
      </c>
      <c r="H14" s="51" t="n"/>
    </row>
    <row r="15" ht="17.25" customHeight="1">
      <c r="A15" s="48" t="inlineStr">
        <is>
          <t xml:space="preserve">PROJECT   : </t>
        </is>
      </c>
      <c r="B15" s="52" t="n"/>
      <c r="C15" s="52" t="n"/>
      <c r="D15" s="43" t="n"/>
      <c r="E15" s="43" t="n"/>
      <c r="F15" s="4" t="n"/>
      <c r="G15" s="5" t="n"/>
      <c r="H15" s="6" t="n"/>
    </row>
    <row r="16" ht="17.25" customHeight="1">
      <c r="A16" s="54" t="inlineStr">
        <is>
          <t>No.</t>
        </is>
      </c>
      <c r="B16" s="54" t="inlineStr">
        <is>
          <t>Description</t>
        </is>
      </c>
      <c r="C16" s="157" t="n"/>
      <c r="D16" s="158" t="n"/>
      <c r="E16" s="55" t="inlineStr">
        <is>
          <t>Quantity</t>
        </is>
      </c>
      <c r="F16" s="54" t="inlineStr">
        <is>
          <t>Unit</t>
        </is>
      </c>
      <c r="G16" s="56" t="inlineStr">
        <is>
          <t>Unit Rate</t>
        </is>
      </c>
      <c r="H16" s="57" t="inlineStr">
        <is>
          <t>Total Amount</t>
        </is>
      </c>
    </row>
    <row r="17" ht="16.5" customHeight="1">
      <c r="A17" s="58" t="n"/>
      <c r="B17" s="59" t="n"/>
      <c r="C17" s="60" t="n"/>
      <c r="D17" s="61" t="n"/>
      <c r="E17" s="62" t="n"/>
      <c r="F17" s="62" t="n"/>
      <c r="G17" s="63" t="n"/>
      <c r="H17" s="64" t="inlineStr">
        <is>
          <t>Ex-Nilai Factory in RM</t>
        </is>
      </c>
    </row>
    <row r="18" ht="20.25" customHeight="1">
      <c r="A18" s="65" t="n">
        <v>1</v>
      </c>
      <c r="B18" s="66" t="inlineStr">
        <is>
          <t>MIKRO BUSWAY # 2500A TPNE, 3P4W+50%E, 600VAC, 50Hz (ALUMINIUM) - IP54</t>
        </is>
      </c>
      <c r="C18" s="67" t="n"/>
      <c r="D18" s="68" t="n"/>
      <c r="E18" s="69" t="n"/>
      <c r="F18" s="83" t="n"/>
      <c r="G18" s="71" t="n"/>
      <c r="H18" s="71" t="n"/>
    </row>
    <row r="19" ht="20.25" customHeight="1">
      <c r="A19" s="65" t="n"/>
      <c r="B19" s="72" t="inlineStr">
        <is>
          <t>FROM TX.1,TX.2 TO MSB-AP-T1 ,T2 (2 LENGTHS)</t>
        </is>
      </c>
      <c r="C19" s="73" t="n"/>
      <c r="D19" s="68" t="n"/>
      <c r="E19" s="74" t="n"/>
      <c r="F19" s="75" t="n"/>
      <c r="G19" s="71" t="n"/>
      <c r="H19" s="71" t="n"/>
    </row>
    <row r="20" ht="17.25" customHeight="1">
      <c r="A20" s="76" t="n"/>
      <c r="B20" s="77" t="inlineStr">
        <is>
          <t>FEEDER C/W INTEGRAL EARTH  (Horizontal)</t>
        </is>
      </c>
      <c r="C20" s="78" t="n"/>
      <c r="D20" s="79" t="n"/>
      <c r="E20" s="80" t="n"/>
      <c r="F20" s="81" t="inlineStr">
        <is>
          <t>MTR</t>
        </is>
      </c>
      <c r="G20" s="71" t="n"/>
      <c r="H20" s="82">
        <f>SUM(E20*G20)</f>
        <v/>
      </c>
    </row>
    <row r="21" ht="17.25" customHeight="1">
      <c r="A21" s="76" t="n"/>
      <c r="B21" s="77" t="inlineStr">
        <is>
          <t>FLANGE END</t>
        </is>
      </c>
      <c r="C21" s="78" t="n"/>
      <c r="D21" s="79" t="n"/>
      <c r="E21" s="83" t="n"/>
      <c r="F21" s="84" t="inlineStr">
        <is>
          <t>NOS</t>
        </is>
      </c>
      <c r="G21" s="71" t="n"/>
      <c r="H21" s="82">
        <f>E21*G21</f>
        <v/>
      </c>
    </row>
    <row r="22" ht="17.25" customHeight="1">
      <c r="A22" s="76" t="n"/>
      <c r="B22" s="77" t="inlineStr">
        <is>
          <t>HORIZONTAL ELBOW</t>
        </is>
      </c>
      <c r="C22" s="78" t="n"/>
      <c r="D22" s="79" t="n"/>
      <c r="E22" s="83" t="n"/>
      <c r="F22" s="84" t="inlineStr">
        <is>
          <t>NOS</t>
        </is>
      </c>
      <c r="G22" s="71" t="n"/>
      <c r="H22" s="82">
        <f>E22*G22</f>
        <v/>
      </c>
    </row>
    <row r="23" ht="17.25" customHeight="1">
      <c r="A23" s="76" t="n"/>
      <c r="B23" s="77" t="inlineStr">
        <is>
          <t>VERTICAL ELBOW</t>
        </is>
      </c>
      <c r="C23" s="78" t="n"/>
      <c r="D23" s="79" t="n"/>
      <c r="E23" s="83" t="n"/>
      <c r="F23" s="84" t="inlineStr">
        <is>
          <t>NOS</t>
        </is>
      </c>
      <c r="G23" s="71" t="n"/>
      <c r="H23" s="82">
        <f>E23*G23</f>
        <v/>
      </c>
    </row>
    <row r="24" ht="17.25" customHeight="1">
      <c r="A24" s="76" t="n"/>
      <c r="B24" s="77" t="inlineStr">
        <is>
          <t>FLEXIBLE LINK (BRAIDED TYPE)</t>
        </is>
      </c>
      <c r="C24" s="78" t="n"/>
      <c r="D24" s="79" t="n"/>
      <c r="E24" s="83" t="n"/>
      <c r="F24" s="84" t="inlineStr">
        <is>
          <t>SETS</t>
        </is>
      </c>
      <c r="G24" s="71" t="n"/>
      <c r="H24" s="82">
        <f>E24*G24</f>
        <v/>
      </c>
    </row>
    <row r="25" ht="17.25" customHeight="1">
      <c r="A25" s="76" t="n"/>
      <c r="B25" s="85" t="inlineStr">
        <is>
          <t>OPTIONAL</t>
        </is>
      </c>
      <c r="C25" s="78" t="n"/>
      <c r="D25" s="79" t="n"/>
      <c r="E25" s="83" t="n"/>
      <c r="F25" s="84" t="n"/>
      <c r="G25" s="71" t="n"/>
      <c r="H25" s="82" t="n"/>
    </row>
    <row r="26" ht="20.25" customHeight="1">
      <c r="A26" s="76" t="n"/>
      <c r="B26" s="77" t="inlineStr">
        <is>
          <t>MOUNTING CLAMP (W/O ROD &amp; C-CHANNEL)</t>
        </is>
      </c>
      <c r="C26" s="78" t="n"/>
      <c r="D26" s="79" t="n"/>
      <c r="E26" s="83" t="n"/>
      <c r="F26" s="84" t="inlineStr">
        <is>
          <t>SETS</t>
        </is>
      </c>
      <c r="G26" s="71" t="n"/>
      <c r="H26" s="82">
        <f>E26*G26</f>
        <v/>
      </c>
    </row>
    <row r="27" ht="17.25" customHeight="1">
      <c r="A27" s="76" t="n"/>
      <c r="B27" s="77" t="inlineStr">
        <is>
          <t>BI-METAL PLATE (2 x 80mm x 125mm, 4 pcs/set)</t>
        </is>
      </c>
      <c r="C27" s="78" t="n"/>
      <c r="D27" s="79" t="n"/>
      <c r="E27" s="83" t="n"/>
      <c r="F27" s="84" t="inlineStr">
        <is>
          <t>SETS</t>
        </is>
      </c>
      <c r="G27" s="71" t="n"/>
      <c r="H27" s="82">
        <f>E27*G27</f>
        <v/>
      </c>
    </row>
    <row r="28" ht="17.25" customHeight="1">
      <c r="A28" s="76" t="n"/>
      <c r="B28" s="77" t="inlineStr">
        <is>
          <t>CONNECTION BARS (TX &amp; MSB)</t>
        </is>
      </c>
      <c r="C28" s="78" t="n"/>
      <c r="D28" s="79" t="n"/>
      <c r="E28" s="83" t="n"/>
      <c r="F28" s="84" t="inlineStr">
        <is>
          <t>LOTS</t>
        </is>
      </c>
      <c r="G28" s="71" t="n"/>
      <c r="H28" s="82" t="inlineStr">
        <is>
          <t>EXCLUDED</t>
        </is>
      </c>
    </row>
    <row r="29" ht="17.25" customHeight="1">
      <c r="A29" s="86" t="n"/>
      <c r="B29" s="87" t="n"/>
      <c r="C29" s="88" t="n"/>
      <c r="D29" s="89" t="n"/>
      <c r="E29" s="90" t="n"/>
      <c r="F29" s="91" t="n"/>
      <c r="G29" s="92" t="n"/>
      <c r="H29" s="159">
        <f>SUM(H20:H28)</f>
        <v/>
      </c>
    </row>
    <row r="30" ht="20.25" customHeight="1">
      <c r="A30" s="94" t="n">
        <v>2</v>
      </c>
      <c r="B30" s="95" t="inlineStr">
        <is>
          <t>MIKRO BUSWAY # 2000A TPNE, 3P4W+50%E, 600VAC, 50Hz (ALUMINIUM) - IP54</t>
        </is>
      </c>
      <c r="C30" s="96" t="n"/>
      <c r="D30" s="97" t="n"/>
      <c r="E30" s="98" t="n"/>
      <c r="F30" s="99" t="n"/>
      <c r="G30" s="100" t="n"/>
      <c r="H30" s="100" t="n"/>
    </row>
    <row r="31" ht="20.25" customHeight="1">
      <c r="A31" s="65" t="n"/>
      <c r="B31" s="72" t="inlineStr">
        <is>
          <t>FROM TX.2,TX.3,TX.4 TO MSB-OT-T1 (2 LENGTHS)</t>
        </is>
      </c>
      <c r="C31" s="73" t="n"/>
      <c r="D31" s="68" t="n"/>
      <c r="E31" s="74" t="n"/>
      <c r="F31" s="75" t="n"/>
      <c r="G31" s="71" t="n"/>
      <c r="H31" s="71" t="n"/>
    </row>
    <row r="32" ht="17.25" customHeight="1">
      <c r="A32" s="76" t="n"/>
      <c r="B32" s="77" t="inlineStr">
        <is>
          <t>FEEDER C/W INTEGRAL EARTH  (Horizontal)</t>
        </is>
      </c>
      <c r="C32" s="78" t="n"/>
      <c r="D32" s="79" t="n"/>
      <c r="E32" s="80" t="n"/>
      <c r="F32" s="81" t="inlineStr">
        <is>
          <t>MTR</t>
        </is>
      </c>
      <c r="G32" s="71" t="n"/>
      <c r="H32" s="82">
        <f>SUM(E32*G32)</f>
        <v/>
      </c>
    </row>
    <row r="33" ht="17.25" customHeight="1">
      <c r="A33" s="76" t="n"/>
      <c r="B33" s="77" t="inlineStr">
        <is>
          <t>FLANGE END</t>
        </is>
      </c>
      <c r="C33" s="78" t="n"/>
      <c r="D33" s="79" t="n"/>
      <c r="E33" s="83" t="n"/>
      <c r="F33" s="84" t="inlineStr">
        <is>
          <t>NOS</t>
        </is>
      </c>
      <c r="G33" s="71" t="n"/>
      <c r="H33" s="82">
        <f>E33*G33</f>
        <v/>
      </c>
    </row>
    <row r="34" ht="17.25" customHeight="1">
      <c r="A34" s="76" t="n"/>
      <c r="B34" s="77" t="inlineStr">
        <is>
          <t>HORIZONTAL ELBOW</t>
        </is>
      </c>
      <c r="C34" s="78" t="n"/>
      <c r="D34" s="79" t="n"/>
      <c r="E34" s="83" t="n"/>
      <c r="F34" s="84" t="inlineStr">
        <is>
          <t>NOS</t>
        </is>
      </c>
      <c r="G34" s="71" t="n"/>
      <c r="H34" s="82">
        <f>E34*G34</f>
        <v/>
      </c>
    </row>
    <row r="35" ht="17.25" customHeight="1">
      <c r="A35" s="76" t="n"/>
      <c r="B35" s="77" t="inlineStr">
        <is>
          <t>VERTICAL ELBOW</t>
        </is>
      </c>
      <c r="C35" s="78" t="n"/>
      <c r="D35" s="79" t="n"/>
      <c r="E35" s="83" t="n"/>
      <c r="F35" s="84" t="inlineStr">
        <is>
          <t>NOS</t>
        </is>
      </c>
      <c r="G35" s="71" t="n"/>
      <c r="H35" s="82">
        <f>E35*G35</f>
        <v/>
      </c>
    </row>
    <row r="36" ht="17.25" customHeight="1">
      <c r="A36" s="76" t="n"/>
      <c r="B36" s="77" t="inlineStr">
        <is>
          <t>FLEXIBLE LINK (BRAIDED TYPE)</t>
        </is>
      </c>
      <c r="C36" s="78" t="n"/>
      <c r="D36" s="79" t="n"/>
      <c r="E36" s="83" t="n"/>
      <c r="F36" s="84" t="inlineStr">
        <is>
          <t>SETS</t>
        </is>
      </c>
      <c r="G36" s="71" t="n"/>
      <c r="H36" s="82">
        <f>E36*G36</f>
        <v/>
      </c>
    </row>
    <row r="37" ht="17.25" customHeight="1">
      <c r="A37" s="76" t="n"/>
      <c r="B37" s="85" t="inlineStr">
        <is>
          <t>OPTIONAL</t>
        </is>
      </c>
      <c r="C37" s="78" t="n"/>
      <c r="D37" s="79" t="n"/>
      <c r="E37" s="83" t="n"/>
      <c r="F37" s="84" t="n"/>
      <c r="G37" s="71" t="n"/>
      <c r="H37" s="82" t="n"/>
    </row>
    <row r="38" ht="20.25" customHeight="1">
      <c r="A38" s="76" t="n"/>
      <c r="B38" s="77" t="inlineStr">
        <is>
          <t>MOUNTING CLAMP (W/O ROD &amp; C-CHANNEL)</t>
        </is>
      </c>
      <c r="C38" s="78" t="n"/>
      <c r="D38" s="79" t="n"/>
      <c r="E38" s="83" t="n"/>
      <c r="F38" s="84" t="inlineStr">
        <is>
          <t>SETS</t>
        </is>
      </c>
      <c r="G38" s="71" t="n"/>
      <c r="H38" s="82">
        <f>E38*G38</f>
        <v/>
      </c>
    </row>
    <row r="39" ht="17.25" customHeight="1">
      <c r="A39" s="76" t="n"/>
      <c r="B39" s="77" t="inlineStr">
        <is>
          <t>BI-METAL PLATE (1 x 80mm x 200mm, 4 pcs/set)</t>
        </is>
      </c>
      <c r="C39" s="78" t="n"/>
      <c r="D39" s="79" t="n"/>
      <c r="E39" s="83" t="n"/>
      <c r="F39" s="84" t="inlineStr">
        <is>
          <t>SETS</t>
        </is>
      </c>
      <c r="G39" s="71" t="n"/>
      <c r="H39" s="82">
        <f>E39*G39</f>
        <v/>
      </c>
    </row>
    <row r="40" ht="17.25" customHeight="1">
      <c r="A40" s="76" t="n"/>
      <c r="B40" s="77" t="inlineStr">
        <is>
          <t>CONNECTION BARS (TX &amp; MSB)</t>
        </is>
      </c>
      <c r="C40" s="78" t="n"/>
      <c r="D40" s="79" t="n"/>
      <c r="E40" s="83" t="n"/>
      <c r="F40" s="84" t="inlineStr">
        <is>
          <t>LOTS</t>
        </is>
      </c>
      <c r="G40" s="71" t="n"/>
      <c r="H40" s="82" t="inlineStr">
        <is>
          <t>EXCLUDED</t>
        </is>
      </c>
    </row>
    <row r="41" ht="18" customHeight="1" thickBot="1">
      <c r="A41" s="101" t="n"/>
      <c r="B41" s="102" t="n"/>
      <c r="C41" s="6" t="n"/>
      <c r="D41" s="103" t="n"/>
      <c r="E41" s="104" t="n"/>
      <c r="F41" s="105" t="n"/>
      <c r="G41" s="106" t="n"/>
      <c r="H41" s="107">
        <f>SUM(H32:H40)</f>
        <v/>
      </c>
    </row>
    <row r="42" ht="17.25" customHeight="1">
      <c r="A42" s="108" t="n"/>
      <c r="B42" s="109" t="n"/>
      <c r="C42" s="110" t="n"/>
      <c r="D42" s="110" t="n"/>
      <c r="E42" s="110" t="n"/>
      <c r="F42" s="111" t="inlineStr">
        <is>
          <t>Sub-Total Amount  :</t>
        </is>
      </c>
      <c r="G42" s="160" t="n"/>
      <c r="H42" s="161">
        <f>SUM(H29,H41)</f>
        <v/>
      </c>
    </row>
    <row r="43" ht="17.25" customHeight="1">
      <c r="A43" s="114" t="n"/>
      <c r="B43" s="115" t="n"/>
      <c r="C43" s="116" t="n"/>
      <c r="D43" s="116" t="n"/>
      <c r="E43" s="116" t="n"/>
      <c r="F43" s="116" t="n"/>
      <c r="G43" s="117" t="inlineStr">
        <is>
          <t>10% SST  :</t>
        </is>
      </c>
      <c r="H43" s="162">
        <f>SUM(H42*10%)</f>
        <v/>
      </c>
    </row>
    <row r="44" ht="19.5" customHeight="1" thickBot="1">
      <c r="A44" s="119" t="n"/>
      <c r="B44" s="120" t="inlineStr">
        <is>
          <t>Grand Total Amount for Item No. 1 to 2 , Ex-Nilai Factory in RM  :</t>
        </is>
      </c>
      <c r="C44" s="163" t="n"/>
      <c r="D44" s="163" t="n"/>
      <c r="E44" s="163" t="n"/>
      <c r="F44" s="163" t="n"/>
      <c r="G44" s="164" t="n"/>
      <c r="H44" s="165">
        <f>SUM(H42,H43)</f>
        <v/>
      </c>
      <c r="L44" s="153" t="n"/>
    </row>
    <row r="45"/>
    <row r="46" ht="20.25" customHeight="1">
      <c r="B46" s="122" t="inlineStr">
        <is>
          <t>Manufacturer</t>
        </is>
      </c>
      <c r="C46" s="123" t="inlineStr">
        <is>
          <t>: Mikro Busway Sdn Bhd, Malaysia.</t>
        </is>
      </c>
      <c r="D46" s="123" t="n"/>
      <c r="E46" s="123" t="n"/>
      <c r="F46" s="123" t="n"/>
      <c r="G46" s="123" t="n"/>
      <c r="H46" s="26" t="n"/>
      <c r="L46" s="140" t="n"/>
      <c r="M46" s="141" t="n"/>
      <c r="N46" s="141" t="n"/>
      <c r="O46" s="141" t="n"/>
      <c r="P46" s="141" t="n"/>
      <c r="Q46" s="141" t="n"/>
    </row>
    <row r="47" ht="17.25" customHeight="1">
      <c r="B47" s="122" t="inlineStr">
        <is>
          <t>Validity</t>
        </is>
      </c>
      <c r="C47" s="123" t="inlineStr">
        <is>
          <t>: Based on LME Alu.@USD3,666/MT and thereafter depands on current LME Aluminium price.</t>
        </is>
      </c>
      <c r="D47" s="124" t="n"/>
      <c r="E47" s="125" t="n"/>
      <c r="F47" s="126" t="n"/>
      <c r="G47" s="127" t="n"/>
      <c r="H47" s="26" t="n"/>
      <c r="L47" s="142" t="n"/>
      <c r="M47" s="142" t="n"/>
      <c r="N47" s="142" t="n"/>
      <c r="O47" s="142" t="n"/>
      <c r="P47" s="142" t="n"/>
      <c r="Q47" s="142" t="n"/>
    </row>
    <row r="48" ht="17.25" customHeight="1">
      <c r="B48" s="122" t="inlineStr">
        <is>
          <t>Delivery</t>
        </is>
      </c>
      <c r="C48" s="123" t="inlineStr">
        <is>
          <t>: Approximately 8 to 10 working weeks upon receipt of approval drawings.</t>
        </is>
      </c>
      <c r="D48" s="124" t="n"/>
      <c r="E48" s="125" t="n"/>
      <c r="F48" s="126" t="n"/>
      <c r="G48" s="127" t="n"/>
      <c r="H48" s="26" t="n"/>
      <c r="L48" s="143" t="n"/>
      <c r="M48" s="144" t="n"/>
      <c r="N48" s="144" t="n"/>
      <c r="O48" s="144" t="n"/>
      <c r="P48" s="144" t="n"/>
      <c r="Q48" s="144" t="n"/>
    </row>
    <row r="49" ht="17.25" customHeight="1">
      <c r="B49" s="122" t="inlineStr">
        <is>
          <t>Price</t>
        </is>
      </c>
      <c r="C49" s="123" t="inlineStr">
        <is>
          <t>: Ex-Nilai Factory in Ringgit Malaysia (RM).</t>
        </is>
      </c>
      <c r="D49" s="124" t="n"/>
      <c r="E49" s="125" t="n"/>
      <c r="F49" s="126" t="n"/>
      <c r="G49" s="127" t="n"/>
      <c r="H49" s="26" t="n"/>
      <c r="L49" s="143" t="n"/>
      <c r="M49" s="144" t="n"/>
      <c r="N49" s="145" t="n"/>
      <c r="O49" s="146" t="n"/>
      <c r="P49" s="147" t="n"/>
      <c r="Q49" s="148" t="n"/>
    </row>
    <row r="50" ht="20.25" customHeight="1">
      <c r="B50" s="122" t="inlineStr">
        <is>
          <t>Payment</t>
        </is>
      </c>
      <c r="C50" s="123" t="inlineStr">
        <is>
          <t>: 30% Deposit is required upon confirmation of order.</t>
        </is>
      </c>
      <c r="D50" s="124" t="n"/>
      <c r="E50" s="125" t="n"/>
      <c r="F50" s="126" t="n"/>
      <c r="G50" s="127" t="n"/>
      <c r="H50" s="26" t="n"/>
      <c r="L50" s="143" t="n"/>
      <c r="M50" s="144" t="n"/>
      <c r="N50" s="145" t="n"/>
      <c r="O50" s="146" t="n"/>
      <c r="P50" s="147" t="n"/>
      <c r="Q50" s="148" t="n"/>
    </row>
    <row r="51" ht="17.25" customHeight="1">
      <c r="B51" s="123" t="n"/>
      <c r="C51" s="123" t="inlineStr">
        <is>
          <t xml:space="preserve">  Balance on Irrevocable Letter of Credit 60 Days.</t>
        </is>
      </c>
      <c r="D51" s="123" t="n"/>
      <c r="E51" s="123" t="n"/>
      <c r="F51" s="123" t="n"/>
      <c r="G51" s="123" t="n"/>
      <c r="H51" s="26" t="n"/>
      <c r="L51" s="143" t="n"/>
      <c r="M51" s="144" t="n"/>
      <c r="N51" s="145" t="n"/>
      <c r="O51" s="146" t="n"/>
      <c r="P51" s="147" t="n"/>
      <c r="Q51" s="148" t="n"/>
    </row>
    <row r="52" ht="18" customHeight="1">
      <c r="B52" s="123" t="n"/>
      <c r="C52" s="123" t="n"/>
      <c r="D52" s="123" t="n"/>
      <c r="E52" s="123" t="n"/>
      <c r="F52" s="123" t="n"/>
      <c r="G52" s="123" t="n"/>
      <c r="H52" s="26" t="n"/>
      <c r="L52" s="143" t="n"/>
      <c r="M52" s="144" t="n"/>
      <c r="N52" s="145" t="n"/>
      <c r="O52" s="146" t="n"/>
      <c r="P52" s="147" t="n"/>
      <c r="Q52" s="148" t="n"/>
    </row>
    <row r="53" ht="20.25" customHeight="1">
      <c r="B53" s="128" t="inlineStr">
        <is>
          <t>Remarks :</t>
        </is>
      </c>
      <c r="C53" s="129" t="n"/>
      <c r="D53" s="129" t="n"/>
      <c r="E53" s="129" t="n"/>
      <c r="F53" s="129" t="n"/>
      <c r="G53" s="129" t="n"/>
      <c r="H53" s="26" t="n"/>
      <c r="L53" s="144" t="n"/>
      <c r="M53" s="144" t="n"/>
      <c r="N53" s="144" t="n"/>
      <c r="O53" s="144" t="n"/>
      <c r="P53" s="144" t="n"/>
      <c r="Q53" s="144" t="n"/>
    </row>
    <row r="54" ht="17.25" customHeight="1">
      <c r="B54" s="129" t="inlineStr">
        <is>
          <t>1. The quantities quoted are rough estimation only. Final busway amount shall based on the actual</t>
        </is>
      </c>
      <c r="C54" s="129" t="n"/>
      <c r="D54" s="129" t="n"/>
      <c r="E54" s="129" t="n"/>
      <c r="F54" s="129" t="n"/>
      <c r="G54" s="129" t="n"/>
      <c r="H54" s="26" t="n"/>
      <c r="L54" s="141" t="n"/>
      <c r="M54" s="141" t="n"/>
      <c r="N54" s="141" t="n"/>
      <c r="O54" s="141" t="n"/>
      <c r="P54" s="141" t="n"/>
      <c r="Q54" s="141" t="n"/>
    </row>
    <row r="55" ht="18" customHeight="1">
      <c r="B55" s="129" t="inlineStr">
        <is>
          <t xml:space="preserve">     delivery and approved shop-drawings.</t>
        </is>
      </c>
      <c r="C55" s="129" t="n"/>
      <c r="D55" s="129" t="n"/>
      <c r="E55" s="129" t="n"/>
      <c r="F55" s="129" t="n"/>
      <c r="G55" s="129" t="n"/>
      <c r="H55" s="26" t="n"/>
      <c r="L55" s="149" t="n"/>
      <c r="M55" s="141" t="n"/>
      <c r="N55" s="141" t="n"/>
      <c r="O55" s="141" t="n"/>
      <c r="P55" s="141" t="n"/>
      <c r="Q55" s="141" t="n"/>
    </row>
    <row r="56" ht="17.25" customHeight="1">
      <c r="B56" s="129" t="inlineStr">
        <is>
          <t>2. All Bi-Metal materials for Aluminum Busway are by contractor.</t>
        </is>
      </c>
      <c r="C56" s="129" t="n"/>
      <c r="D56" s="129" t="n"/>
      <c r="E56" s="129" t="n"/>
      <c r="F56" s="129" t="n"/>
      <c r="G56" s="129" t="n"/>
      <c r="H56" s="26" t="n"/>
      <c r="L56" s="141" t="n"/>
      <c r="M56" s="141" t="n"/>
      <c r="N56" s="141" t="n"/>
      <c r="O56" s="141" t="n"/>
      <c r="P56" s="141" t="n"/>
      <c r="Q56" s="141" t="n"/>
    </row>
    <row r="57" ht="17.25" customHeight="1">
      <c r="B57" s="129" t="inlineStr">
        <is>
          <t>3. The prices quoted are based on 05-06-2026 LME Aluminium @USD3,666/MT.</t>
        </is>
      </c>
      <c r="C57" s="129" t="n"/>
      <c r="D57" s="129" t="n"/>
      <c r="E57" s="129" t="n"/>
      <c r="F57" s="129" t="n"/>
      <c r="G57" s="129" t="n"/>
      <c r="H57" s="26" t="n"/>
      <c r="L57" s="141" t="n"/>
      <c r="M57" s="141" t="n"/>
      <c r="N57" s="141" t="n"/>
      <c r="O57" s="141" t="n"/>
      <c r="P57" s="141" t="n"/>
      <c r="Q57" s="141" t="n"/>
    </row>
    <row r="58" ht="17.25" customHeight="1">
      <c r="B58" s="129" t="inlineStr">
        <is>
          <t>4. Should any modification on factory standard dimensions are chargeable.</t>
        </is>
      </c>
      <c r="C58" s="129" t="n"/>
      <c r="D58" s="129" t="n"/>
      <c r="E58" s="129" t="n"/>
      <c r="F58" s="129" t="n"/>
      <c r="G58" s="129" t="n"/>
      <c r="H58" s="26" t="n"/>
      <c r="L58" s="150" t="n"/>
      <c r="M58" s="151" t="n"/>
      <c r="N58" s="151" t="n"/>
      <c r="O58" s="151" t="n"/>
      <c r="P58" s="151" t="n"/>
      <c r="Q58" s="151" t="n"/>
    </row>
    <row r="59" ht="17.25" customHeight="1">
      <c r="B59" s="129" t="inlineStr">
        <is>
          <t>5. All horizontal hanger support are by contractor.</t>
        </is>
      </c>
      <c r="C59" s="129" t="n"/>
      <c r="D59" s="129" t="n"/>
      <c r="E59" s="129" t="n"/>
      <c r="F59" s="129" t="n"/>
      <c r="G59" s="129" t="n"/>
      <c r="H59" s="26" t="n"/>
      <c r="L59" s="141" t="n"/>
      <c r="M59" s="141" t="n"/>
      <c r="N59" s="141" t="n"/>
      <c r="O59" s="141" t="n"/>
      <c r="P59" s="141" t="n"/>
      <c r="Q59" s="141" t="n"/>
    </row>
    <row r="60" ht="17.25" customHeight="1">
      <c r="B60" s="129" t="inlineStr">
        <is>
          <t>6. Any delivery to other than project site are subject to additional transportation surcharge.</t>
        </is>
      </c>
      <c r="C60" s="129" t="n"/>
      <c r="D60" s="129" t="n"/>
      <c r="E60" s="129" t="n"/>
      <c r="F60" s="129" t="n"/>
      <c r="G60" s="129" t="n"/>
      <c r="H60" s="26" t="n"/>
      <c r="L60" s="141" t="n"/>
      <c r="M60" s="141" t="n"/>
      <c r="N60" s="141" t="n"/>
      <c r="O60" s="141" t="n"/>
      <c r="P60" s="141" t="n"/>
      <c r="Q60" s="141" t="n"/>
    </row>
    <row r="61" ht="17.25" customHeight="1">
      <c r="B61" s="129" t="inlineStr">
        <is>
          <t>7. The prices quoted are EXCLUDING all installation works, all termination of the busway to panels or</t>
        </is>
      </c>
      <c r="C61" s="129" t="n"/>
      <c r="D61" s="129" t="n"/>
      <c r="E61" s="129" t="n"/>
      <c r="F61" s="129" t="n"/>
      <c r="G61" s="129" t="n"/>
      <c r="H61" s="26" t="n"/>
      <c r="L61" s="141" t="n"/>
      <c r="M61" s="141" t="n"/>
      <c r="N61" s="141" t="n"/>
      <c r="O61" s="141" t="n"/>
      <c r="P61" s="141" t="n"/>
      <c r="Q61" s="141" t="n"/>
    </row>
    <row r="62" ht="17.25" customHeight="1">
      <c r="B62" s="129" t="inlineStr">
        <is>
          <t xml:space="preserve">    transformers, testing and commissioning at site.</t>
        </is>
      </c>
      <c r="C62" s="129" t="n"/>
      <c r="D62" s="129" t="n"/>
      <c r="E62" s="129" t="n"/>
      <c r="F62" s="129" t="n"/>
      <c r="G62" s="129" t="n"/>
      <c r="H62" s="26" t="n"/>
      <c r="L62" s="141" t="n"/>
      <c r="M62" s="141" t="n"/>
      <c r="N62" s="152" t="n"/>
      <c r="O62" s="152" t="n"/>
      <c r="P62" s="152" t="n"/>
      <c r="Q62" s="152" t="n"/>
    </row>
    <row r="63" ht="17.25" customHeight="1">
      <c r="B63" s="129" t="inlineStr">
        <is>
          <t>8. Warranty against manufacturing defects is 12 calendar months after delivery. This warranty does not</t>
        </is>
      </c>
      <c r="C63" s="129" t="n"/>
      <c r="D63" s="129" t="n"/>
      <c r="E63" s="129" t="n"/>
      <c r="F63" s="129" t="n"/>
      <c r="G63" s="129" t="n"/>
      <c r="H63" s="26" t="n"/>
      <c r="L63" s="141" t="n"/>
      <c r="M63" s="141" t="n"/>
      <c r="N63" s="141" t="n"/>
      <c r="O63" s="141" t="n"/>
      <c r="P63" s="141" t="n"/>
      <c r="Q63" s="141" t="n"/>
    </row>
    <row r="64" ht="17.25" customHeight="1">
      <c r="B64" s="129" t="inlineStr">
        <is>
          <t xml:space="preserve">    cover reimbursement of consequential or incidental damages, labour, transportation, removal of the</t>
        </is>
      </c>
      <c r="C64" s="129" t="n"/>
      <c r="D64" s="129" t="n"/>
      <c r="E64" s="129" t="n"/>
      <c r="F64" s="129" t="n"/>
      <c r="G64" s="129" t="n"/>
      <c r="H64" s="26" t="n"/>
      <c r="L64" s="141" t="n"/>
      <c r="M64" s="141" t="n"/>
      <c r="N64" s="141" t="n"/>
      <c r="O64" s="141" t="n"/>
      <c r="P64" s="141" t="n"/>
      <c r="Q64" s="141" t="n"/>
    </row>
    <row r="65" ht="17.25" customHeight="1">
      <c r="B65" s="129" t="inlineStr">
        <is>
          <t xml:space="preserve">    installation or any other expenses which may be incurred in connection with the repair and replacement.</t>
        </is>
      </c>
      <c r="C65" s="129" t="n"/>
      <c r="D65" s="129" t="n"/>
      <c r="E65" s="129" t="n"/>
      <c r="F65" s="129" t="n"/>
      <c r="G65" s="129" t="n"/>
      <c r="H65" s="26" t="n"/>
      <c r="L65" s="141" t="n"/>
      <c r="M65" s="141" t="n"/>
      <c r="N65" s="141" t="n"/>
      <c r="O65" s="141" t="n"/>
      <c r="P65" s="141" t="n"/>
      <c r="Q65" s="141" t="n"/>
    </row>
    <row r="66">
      <c r="L66" s="141" t="n"/>
      <c r="M66" s="141" t="n"/>
      <c r="N66" s="141" t="n"/>
      <c r="O66" s="141" t="n"/>
      <c r="P66" s="141" t="n"/>
      <c r="Q66" s="141" t="n"/>
    </row>
    <row r="67" ht="16.5" customHeight="1">
      <c r="B67" s="52" t="inlineStr">
        <is>
          <t>MIKRO BUSWAY SDN BERHAD</t>
        </is>
      </c>
      <c r="C67" s="52" t="n"/>
      <c r="D67" s="16" t="n"/>
      <c r="E67" s="130" t="n"/>
      <c r="F67" s="52" t="n"/>
      <c r="G67" s="131" t="n"/>
      <c r="L67" s="141" t="n"/>
      <c r="M67" s="141" t="n"/>
      <c r="N67" s="141" t="n"/>
      <c r="O67" s="141" t="n"/>
      <c r="P67" s="141" t="n"/>
      <c r="Q67" s="141" t="n"/>
    </row>
    <row r="68" ht="16.5" customHeight="1">
      <c r="B68" s="52" t="n"/>
      <c r="C68" s="52" t="n"/>
      <c r="D68" s="16" t="n"/>
      <c r="E68" s="130" t="n"/>
      <c r="F68" s="52" t="n"/>
      <c r="G68" s="131" t="n"/>
      <c r="L68" s="141" t="n"/>
      <c r="M68" s="141" t="n"/>
      <c r="N68" s="141" t="n"/>
      <c r="O68" s="141" t="n"/>
      <c r="P68" s="141" t="n"/>
      <c r="Q68" s="141" t="n"/>
    </row>
    <row r="69" ht="16.5" customHeight="1">
      <c r="B69" s="52" t="n"/>
      <c r="C69" s="52" t="n"/>
      <c r="D69" s="16" t="n"/>
      <c r="E69" s="130" t="n"/>
      <c r="F69" s="52" t="n"/>
      <c r="G69" s="131" t="n"/>
    </row>
    <row r="70" ht="16.5" customHeight="1">
      <c r="B70" s="131" t="inlineStr">
        <is>
          <t>PREPARED BY:</t>
        </is>
      </c>
      <c r="C70" s="131" t="n"/>
      <c r="D70" s="16" t="n"/>
      <c r="E70" s="132" t="n"/>
      <c r="F70" s="131" t="inlineStr">
        <is>
          <t>REVIEWED BY:</t>
        </is>
      </c>
      <c r="G70" s="131" t="n"/>
    </row>
    <row r="71" ht="16.5" customHeight="1">
      <c r="B71" s="133" t="n"/>
      <c r="C71" s="131" t="n"/>
      <c r="D71" s="16" t="n"/>
      <c r="E71" s="130" t="n"/>
      <c r="F71" s="133" t="n"/>
      <c r="G71" s="131" t="n"/>
    </row>
    <row r="72" ht="16.5" customHeight="1">
      <c r="B72" s="131" t="n"/>
      <c r="C72" s="131" t="n"/>
      <c r="D72" s="16" t="n"/>
      <c r="E72" s="130" t="n"/>
      <c r="F72" s="131" t="n"/>
      <c r="G72" s="131" t="n"/>
    </row>
    <row r="73" ht="16.5" customHeight="1">
      <c r="B73" s="131" t="n"/>
      <c r="C73" s="131" t="n"/>
      <c r="D73" s="16" t="n"/>
      <c r="E73" s="130" t="n"/>
      <c r="F73" s="131" t="n"/>
      <c r="G73" s="131" t="n"/>
    </row>
    <row r="74">
      <c r="B74" s="134" t="inlineStr">
        <is>
          <t>……………………………...</t>
        </is>
      </c>
      <c r="C74" s="17" t="n"/>
      <c r="D74" s="16" t="n"/>
      <c r="E74" s="130" t="n"/>
      <c r="F74" s="135" t="inlineStr">
        <is>
          <t>……………………………..…</t>
        </is>
      </c>
      <c r="G74" s="25" t="n"/>
    </row>
    <row r="75" ht="17.25" customHeight="1">
      <c r="B75" s="136" t="inlineStr">
        <is>
          <t>FERHAD</t>
        </is>
      </c>
      <c r="C75" s="48" t="n"/>
      <c r="D75" s="16" t="n"/>
      <c r="E75" s="130" t="n"/>
      <c r="F75" s="49" t="inlineStr">
        <is>
          <t xml:space="preserve">ERIC WONG </t>
        </is>
      </c>
      <c r="G75" s="6" t="n"/>
    </row>
    <row r="76" ht="17.25" customHeight="1">
      <c r="B76" s="129" t="inlineStr">
        <is>
          <t xml:space="preserve">Sales administration </t>
        </is>
      </c>
      <c r="C76" s="134" t="n"/>
      <c r="D76" s="16" t="n"/>
      <c r="E76" s="130" t="n"/>
      <c r="F76" s="137" t="inlineStr">
        <is>
          <t>Sales Manager</t>
        </is>
      </c>
      <c r="G76" s="138" t="n"/>
    </row>
    <row r="77" ht="16.5" customHeight="1">
      <c r="B77" s="139" t="inlineStr">
        <is>
          <t>Mobile: (011) 23045638</t>
        </is>
      </c>
      <c r="C77" s="139" t="n"/>
      <c r="D77" s="16" t="n"/>
      <c r="E77" s="130" t="n"/>
      <c r="F77" s="131" t="inlineStr">
        <is>
          <t>Mobile: (012) 6564 633</t>
        </is>
      </c>
      <c r="G77" s="131" t="n"/>
    </row>
    <row r="78" ht="16.5" customHeight="1">
      <c r="B78" s="139" t="inlineStr">
        <is>
          <t>Email: ferhad.d@itmikro.com</t>
        </is>
      </c>
      <c r="C78" s="139" t="n"/>
      <c r="D78" s="16" t="n"/>
      <c r="E78" s="130" t="n"/>
      <c r="F78" s="131" t="inlineStr">
        <is>
          <t>Email: ericwong@itmikro.com</t>
        </is>
      </c>
      <c r="G78" s="131" t="n"/>
    </row>
  </sheetData>
  <mergeCells count="4">
    <mergeCell ref="A12:H12"/>
    <mergeCell ref="B44:G44"/>
    <mergeCell ref="F42:G42"/>
    <mergeCell ref="B16:D16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ferhad daniel</dc:creator>
  <dcterms:created xsi:type="dcterms:W3CDTF">2026-06-24T01:22:34Z</dcterms:created>
  <dcterms:modified xsi:type="dcterms:W3CDTF">2026-08-11T09:02:44Z</dcterms:modified>
  <cp:lastModifiedBy>ferhad daniel</cp:lastModifiedBy>
</cp:coreProperties>
</file>