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HAD\Documents\"/>
    </mc:Choice>
  </mc:AlternateContent>
  <xr:revisionPtr revIDLastSave="0" documentId="13_ncr:1_{70A5B86C-A97D-4914-87F1-F1A36F26DA69}" xr6:coauthVersionLast="47" xr6:coauthVersionMax="47" xr10:uidLastSave="{00000000-0000-0000-0000-000000000000}"/>
  <bookViews>
    <workbookView xWindow="-120" yWindow="-120" windowWidth="20730" windowHeight="11040" xr2:uid="{CFCACF84-4D9C-4B2E-A314-643ACF26B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" l="1"/>
  <c r="H38" i="1"/>
  <c r="H36" i="1"/>
  <c r="H35" i="1"/>
  <c r="H34" i="1"/>
  <c r="H33" i="1"/>
  <c r="H32" i="1"/>
  <c r="H27" i="1"/>
  <c r="H26" i="1"/>
  <c r="H24" i="1"/>
  <c r="H23" i="1"/>
  <c r="H22" i="1"/>
  <c r="H21" i="1"/>
  <c r="H20" i="1"/>
  <c r="H29" i="1" l="1"/>
  <c r="H41" i="1"/>
  <c r="H42" i="1" s="1"/>
  <c r="H43" i="1" l="1"/>
  <c r="H44" i="1" s="1"/>
</calcChain>
</file>

<file path=xl/sharedStrings.xml><?xml version="1.0" encoding="utf-8"?>
<sst xmlns="http://schemas.openxmlformats.org/spreadsheetml/2006/main" count="136" uniqueCount="100">
  <si>
    <r>
      <t xml:space="preserve">MIKRO BUSWAY SDN BHD </t>
    </r>
    <r>
      <rPr>
        <b/>
        <u/>
        <sz val="12"/>
        <rFont val="Arial Unicode MS"/>
        <family val="2"/>
      </rPr>
      <t>(201001002004)</t>
    </r>
  </si>
  <si>
    <t>No. 61 &amp; 62, Jalan Platinum 5/3,</t>
  </si>
  <si>
    <t>Pusat Perdagangan Nilai Impian XME,</t>
  </si>
  <si>
    <t>71800, Nilai, Negeri Sembilan, Malaysia.</t>
  </si>
  <si>
    <t>Tel: +606-795 3362       Email: busway@itmikro.com</t>
  </si>
  <si>
    <t>SST NO : N10-1808-21016496</t>
  </si>
  <si>
    <t>To</t>
  </si>
  <si>
    <t>Date</t>
  </si>
  <si>
    <t>Attn</t>
  </si>
  <si>
    <t>Tel</t>
  </si>
  <si>
    <t>From</t>
  </si>
  <si>
    <t>Fax / Email</t>
  </si>
  <si>
    <t>QUOTATION</t>
  </si>
  <si>
    <t>No.</t>
  </si>
  <si>
    <t>Description</t>
  </si>
  <si>
    <t>Quantity</t>
  </si>
  <si>
    <t>Unit</t>
  </si>
  <si>
    <t>Unit Rate</t>
  </si>
  <si>
    <t>Total Amount</t>
  </si>
  <si>
    <t>Ex-Nilai Factory in RM</t>
  </si>
  <si>
    <r>
      <t>MIKRO BUSWAY</t>
    </r>
    <r>
      <rPr>
        <b/>
        <i/>
        <u/>
        <sz val="12"/>
        <rFont val="Arial Unicode MS"/>
        <family val="2"/>
      </rPr>
      <t xml:space="preserve"> </t>
    </r>
    <r>
      <rPr>
        <b/>
        <u/>
        <sz val="12"/>
        <rFont val="Arial Unicode MS"/>
        <family val="2"/>
      </rPr>
      <t># 2500A</t>
    </r>
    <r>
      <rPr>
        <u/>
        <sz val="12"/>
        <rFont val="Arial Unicode MS"/>
        <family val="2"/>
      </rPr>
      <t xml:space="preserve"> </t>
    </r>
    <r>
      <rPr>
        <b/>
        <u/>
        <sz val="12"/>
        <rFont val="Arial Unicode MS"/>
        <family val="2"/>
      </rPr>
      <t>TPNE, 3P4W+50%E, 600VAC, 50Hz (ALUMINIUM)</t>
    </r>
    <r>
      <rPr>
        <b/>
        <i/>
        <u/>
        <sz val="12"/>
        <rFont val="Arial Unicode MS"/>
        <family val="2"/>
      </rPr>
      <t xml:space="preserve"> - </t>
    </r>
    <r>
      <rPr>
        <b/>
        <u/>
        <sz val="14"/>
        <rFont val="Arial Unicode MS"/>
        <family val="2"/>
      </rPr>
      <t>IP54</t>
    </r>
  </si>
  <si>
    <r>
      <rPr>
        <b/>
        <i/>
        <u/>
        <sz val="12"/>
        <rFont val="Arial Unicode MS"/>
        <family val="2"/>
      </rPr>
      <t xml:space="preserve">FROM TX.1,TX.2 TO MSB-AP-T1 ,T2 </t>
    </r>
    <r>
      <rPr>
        <b/>
        <i/>
        <u/>
        <sz val="14"/>
        <rFont val="Arial Unicode MS"/>
        <family val="2"/>
      </rPr>
      <t>(2 LENGTHS</t>
    </r>
    <r>
      <rPr>
        <b/>
        <u/>
        <sz val="14"/>
        <rFont val="Arial Unicode MS"/>
        <family val="2"/>
      </rPr>
      <t>)</t>
    </r>
  </si>
  <si>
    <r>
      <t xml:space="preserve">FEEDER C/W INTEGRAL EARTH  </t>
    </r>
    <r>
      <rPr>
        <b/>
        <sz val="10"/>
        <rFont val="Arial Unicode MS"/>
        <family val="2"/>
      </rPr>
      <t>(Horizontal)</t>
    </r>
  </si>
  <si>
    <t>MTR</t>
  </si>
  <si>
    <t>FLANGE END</t>
  </si>
  <si>
    <t>NOS</t>
  </si>
  <si>
    <t>HORIZONTAL ELBOW</t>
  </si>
  <si>
    <t>VERTICAL ELBOW</t>
  </si>
  <si>
    <t>FLEXIBLE LINK (BRAIDED TYPE)</t>
  </si>
  <si>
    <t>SETS</t>
  </si>
  <si>
    <t>OPTIONAL</t>
  </si>
  <si>
    <r>
      <t>MOUNTING CLAMP</t>
    </r>
    <r>
      <rPr>
        <sz val="14"/>
        <rFont val="Arial Unicode MS"/>
        <family val="2"/>
      </rPr>
      <t xml:space="preserve"> (</t>
    </r>
    <r>
      <rPr>
        <sz val="12"/>
        <rFont val="Arial Unicode MS"/>
        <family val="2"/>
      </rPr>
      <t>W/O ROD &amp; C-CHANNEL)</t>
    </r>
  </si>
  <si>
    <t>BI-METAL PLATE (2 x 80mm x 125mm, 4 pcs/set)</t>
  </si>
  <si>
    <t>CONNECTION BARS (TX &amp; MSB)</t>
  </si>
  <si>
    <t>LOTS</t>
  </si>
  <si>
    <t>EXCLUDED</t>
  </si>
  <si>
    <r>
      <t xml:space="preserve">MIKRO BUSWAY </t>
    </r>
    <r>
      <rPr>
        <b/>
        <u/>
        <sz val="12"/>
        <rFont val="Arial Unicode MS"/>
        <family val="2"/>
      </rPr>
      <t># 2000A</t>
    </r>
    <r>
      <rPr>
        <u/>
        <sz val="12"/>
        <rFont val="Arial Unicode MS"/>
        <family val="2"/>
      </rPr>
      <t xml:space="preserve"> </t>
    </r>
    <r>
      <rPr>
        <b/>
        <u/>
        <sz val="12"/>
        <rFont val="Arial Unicode MS"/>
        <family val="2"/>
      </rPr>
      <t>TPNE, 3P4W+50%E, 600VAC, 50Hz (ALUMINIUM)</t>
    </r>
    <r>
      <rPr>
        <b/>
        <i/>
        <u/>
        <sz val="12"/>
        <rFont val="Arial Unicode MS"/>
        <family val="2"/>
      </rPr>
      <t xml:space="preserve"> - </t>
    </r>
    <r>
      <rPr>
        <b/>
        <u/>
        <sz val="14"/>
        <rFont val="Arial Unicode MS"/>
        <family val="2"/>
      </rPr>
      <t>IP54</t>
    </r>
  </si>
  <si>
    <r>
      <rPr>
        <b/>
        <i/>
        <u/>
        <sz val="12"/>
        <rFont val="Arial Unicode MS"/>
        <family val="2"/>
      </rPr>
      <t>FROM TX.2,TX.3,TX.4 TO MSB-OT-T1</t>
    </r>
    <r>
      <rPr>
        <b/>
        <u/>
        <sz val="12"/>
        <rFont val="Arial Unicode MS"/>
        <family val="2"/>
      </rPr>
      <t xml:space="preserve"> </t>
    </r>
    <r>
      <rPr>
        <b/>
        <u/>
        <sz val="14"/>
        <rFont val="Arial Unicode MS"/>
        <family val="2"/>
      </rPr>
      <t>(2 LENGTHS)</t>
    </r>
  </si>
  <si>
    <t>BI-METAL PLATE (1 x 80mm x 200mm, 4 pcs/set)</t>
  </si>
  <si>
    <t>Sub-Total Amount  :</t>
  </si>
  <si>
    <t>10% SST  :</t>
  </si>
  <si>
    <t>Grand Total Amount for Item No. 1 to 2 , Ex-Nilai Factory in RM  :</t>
  </si>
  <si>
    <t>Manufacturer</t>
  </si>
  <si>
    <t>: Mikro Busway Sdn Bhd, Malaysia.</t>
  </si>
  <si>
    <t>Validity</t>
  </si>
  <si>
    <r>
      <t xml:space="preserve">: Based on </t>
    </r>
    <r>
      <rPr>
        <b/>
        <sz val="12"/>
        <rFont val="Arial Unicode MS"/>
        <family val="2"/>
      </rPr>
      <t>LME Alu.@USD3,666/MT</t>
    </r>
    <r>
      <rPr>
        <sz val="12"/>
        <rFont val="Arial Unicode MS"/>
        <family val="2"/>
      </rPr>
      <t xml:space="preserve"> and thereafter depands on current LME Aluminium price.</t>
    </r>
  </si>
  <si>
    <t>Delivery</t>
  </si>
  <si>
    <t>: Approximately 8 to 10 working weeks upon receipt of approval drawings.</t>
  </si>
  <si>
    <t>Price</t>
  </si>
  <si>
    <t>: Ex-Nilai Factory in Ringgit Malaysia (RM).</t>
  </si>
  <si>
    <t>Payment</t>
  </si>
  <si>
    <r>
      <t xml:space="preserve">: </t>
    </r>
    <r>
      <rPr>
        <b/>
        <sz val="14"/>
        <rFont val="Arial Unicode MS"/>
        <family val="2"/>
      </rPr>
      <t>30%</t>
    </r>
    <r>
      <rPr>
        <sz val="12"/>
        <rFont val="Arial Unicode MS"/>
        <family val="2"/>
      </rPr>
      <t xml:space="preserve"> Deposit is required upon confirmation of order.</t>
    </r>
  </si>
  <si>
    <t xml:space="preserve">  Balance on Irrevocable Letter of Credit 60 Days.</t>
  </si>
  <si>
    <t>Remarks :</t>
  </si>
  <si>
    <t>1. The quantities quoted are rough estimation only. Final busway amount shall based on the actual</t>
  </si>
  <si>
    <t xml:space="preserve">     delivery and approved shop-drawings.</t>
  </si>
  <si>
    <t>2. All Bi-Metal materials for Aluminum Busway are by contractor.</t>
  </si>
  <si>
    <r>
      <t>3. The prices quoted are based on</t>
    </r>
    <r>
      <rPr>
        <b/>
        <sz val="12"/>
        <rFont val="Arial Unicode MS"/>
        <family val="2"/>
      </rPr>
      <t xml:space="preserve"> 05-06-2026 LME Aluminium @USD3,666/MT.</t>
    </r>
  </si>
  <si>
    <t>4. Should any modification on factory standard dimensions are chargeable.</t>
  </si>
  <si>
    <t>5. All horizontal hanger support are by contractor.</t>
  </si>
  <si>
    <t>6. Any delivery to other than project site are subject to additional transportation surcharge.</t>
  </si>
  <si>
    <r>
      <t xml:space="preserve">7. The prices quoted are </t>
    </r>
    <r>
      <rPr>
        <b/>
        <sz val="12"/>
        <rFont val="Arial Unicode MS"/>
        <family val="2"/>
      </rPr>
      <t>EXCLUDING</t>
    </r>
    <r>
      <rPr>
        <sz val="12"/>
        <rFont val="Arial Unicode MS"/>
        <family val="2"/>
      </rPr>
      <t xml:space="preserve"> all installation works, all termination of the busway to panels or</t>
    </r>
  </si>
  <si>
    <t xml:space="preserve">    transformers, testing and commissioning at site.</t>
  </si>
  <si>
    <t>8. Warranty against manufacturing defects is 12 calendar months after delivery. This warranty does not</t>
  </si>
  <si>
    <t xml:space="preserve">    cover reimbursement of consequential or incidental damages, labour, transportation, removal of the</t>
  </si>
  <si>
    <t xml:space="preserve">    installation or any other expenses which may be incurred in connection with the repair and replacement.</t>
  </si>
  <si>
    <t>MIKRO BUSWAY SDN BERHAD</t>
  </si>
  <si>
    <t>PREPARED BY:</t>
  </si>
  <si>
    <t>REVIEWED BY:</t>
  </si>
  <si>
    <t>……………………………...</t>
  </si>
  <si>
    <t>……………………………..…</t>
  </si>
  <si>
    <t>FERHAD</t>
  </si>
  <si>
    <t xml:space="preserve">ERIC WONG </t>
  </si>
  <si>
    <t xml:space="preserve">Sales administration </t>
  </si>
  <si>
    <t>Sales Manager</t>
  </si>
  <si>
    <t>Mobile: (011) 23045638</t>
  </si>
  <si>
    <t>Mobile: (012) 6564 633</t>
  </si>
  <si>
    <t>Email: ferhad.d@itmikro.com</t>
  </si>
  <si>
    <t>Email: ericwong@itmikro.com</t>
  </si>
  <si>
    <t xml:space="preserve">: </t>
  </si>
  <si>
    <r>
      <t xml:space="preserve">OUR REF </t>
    </r>
    <r>
      <rPr>
        <b/>
        <sz val="11"/>
        <rFont val="Arial Unicode MS"/>
        <family val="2"/>
      </rPr>
      <t xml:space="preserve">   </t>
    </r>
    <r>
      <rPr>
        <b/>
        <sz val="12"/>
        <rFont val="Arial Unicode MS"/>
        <family val="2"/>
      </rPr>
      <t xml:space="preserve">: </t>
    </r>
  </si>
  <si>
    <t xml:space="preserve">PROJECT   : </t>
  </si>
  <si>
    <t xml:space="preserve">M&amp;E : </t>
  </si>
  <si>
    <t>NOTE : The prices quoted are based on Exchange Rate of USD 1.00 = RM 4.13</t>
  </si>
  <si>
    <t>: Mikro Busway Sdn Bhd, Malaysia</t>
  </si>
  <si>
    <t>: 3 days from date of quotation. Thereafter shall depands on LME Copper price.</t>
  </si>
  <si>
    <r>
      <t xml:space="preserve">: </t>
    </r>
    <r>
      <rPr>
        <b/>
        <sz val="14"/>
        <rFont val="Arial"/>
        <family val="2"/>
      </rPr>
      <t>20%</t>
    </r>
    <r>
      <rPr>
        <sz val="12"/>
        <rFont val="Arial"/>
        <family val="2"/>
      </rPr>
      <t xml:space="preserve"> Deposit is required to secure LME Copper @</t>
    </r>
    <r>
      <rPr>
        <b/>
        <sz val="12"/>
        <rFont val="Arial"/>
        <family val="2"/>
      </rPr>
      <t xml:space="preserve"> USD 13, 690/MT</t>
    </r>
    <r>
      <rPr>
        <sz val="12"/>
        <rFont val="Arial"/>
        <family val="2"/>
      </rPr>
      <t xml:space="preserve">. </t>
    </r>
  </si>
  <si>
    <t>1.  The quantities quoted are rough estimation only. Final busway amount shall based on the actual</t>
  </si>
  <si>
    <r>
      <rPr>
        <sz val="12"/>
        <rFont val="Arial"/>
        <family val="2"/>
      </rPr>
      <t>2</t>
    </r>
    <r>
      <rPr>
        <b/>
        <sz val="12"/>
        <rFont val="Arial"/>
        <family val="2"/>
      </rPr>
      <t>.</t>
    </r>
    <r>
      <rPr>
        <sz val="12"/>
        <rFont val="Arial"/>
        <family val="2"/>
      </rPr>
      <t xml:space="preserve">  All Bi-Metal materials for Aluminum Busway are by contractor.</t>
    </r>
  </si>
  <si>
    <t>2.  All Copper Bars are 100% Electro Tin-Plated.</t>
  </si>
  <si>
    <r>
      <t xml:space="preserve">3.  The prices quoted are based on </t>
    </r>
    <r>
      <rPr>
        <b/>
        <sz val="12"/>
        <rFont val="Arial"/>
        <family val="2"/>
      </rPr>
      <t>18-06-2026 LME Copper @ USD 13,690/MT.</t>
    </r>
  </si>
  <si>
    <t>4.  Should any modification on factory standard dimensions are chargeable.</t>
  </si>
  <si>
    <t>5.  All horizontal hanger support are by contractor.</t>
  </si>
  <si>
    <t>6.  Any delivery to other than project site are subject to additional transportation surcharge.</t>
  </si>
  <si>
    <r>
      <t xml:space="preserve">7.  The prices quoted are </t>
    </r>
    <r>
      <rPr>
        <b/>
        <sz val="12"/>
        <rFont val="Arial"/>
        <family val="2"/>
      </rPr>
      <t>EXCLUDING</t>
    </r>
    <r>
      <rPr>
        <sz val="12"/>
        <rFont val="Arial"/>
        <family val="2"/>
      </rPr>
      <t xml:space="preserve"> all installation works, all termination of the busway to panels or</t>
    </r>
  </si>
  <si>
    <t xml:space="preserve">     transformers, testing and commissioning at site.</t>
  </si>
  <si>
    <t>8.  Warranty against manufacturing defects is 12 calendar months after delivery. This warranty does not</t>
  </si>
  <si>
    <t xml:space="preserve">     cover reimbursement of consequential or incidental damages, labour, transportation, removal of the</t>
  </si>
  <si>
    <t xml:space="preserve">     installation or any other expenses which may be incurred in connection with the repair and replacement.</t>
  </si>
  <si>
    <t>COPPER PROJECT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</si>
</sst>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&quot;RM&quot;#,##0.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u/>
      <sz val="18"/>
      <name val="Arial Unicode MS"/>
      <family val="2"/>
    </font>
    <font>
      <b/>
      <u/>
      <sz val="12"/>
      <name val="Arial Unicode MS"/>
      <family val="2"/>
    </font>
    <font>
      <b/>
      <u/>
      <sz val="16"/>
      <name val="Arial Unicode MS"/>
      <family val="2"/>
    </font>
    <font>
      <sz val="12"/>
      <name val="Arial Unicode MS"/>
      <family val="2"/>
    </font>
    <font>
      <sz val="10"/>
      <name val="VNI-Times"/>
      <family val="2"/>
    </font>
    <font>
      <sz val="11"/>
      <name val="Arial Unicode MS"/>
      <family val="2"/>
    </font>
    <font>
      <sz val="10"/>
      <name val="Arial Unicode MS"/>
      <family val="2"/>
    </font>
    <font>
      <sz val="9"/>
      <name val="Arial Unicode MS"/>
      <family val="2"/>
    </font>
    <font>
      <sz val="11"/>
      <name val="Times New Roman"/>
      <family val="1"/>
    </font>
    <font>
      <b/>
      <sz val="10"/>
      <name val="Arial Unicode MS"/>
      <family val="2"/>
    </font>
    <font>
      <b/>
      <sz val="10"/>
      <name val="Times New Roman"/>
      <family val="1"/>
    </font>
    <font>
      <b/>
      <sz val="12"/>
      <name val="Arial Unicode MS"/>
      <family val="2"/>
    </font>
    <font>
      <b/>
      <sz val="14"/>
      <name val="Arial Unicode MS"/>
      <family val="2"/>
    </font>
    <font>
      <b/>
      <sz val="11"/>
      <name val="Arial Unicode MS"/>
      <family val="2"/>
    </font>
    <font>
      <b/>
      <u/>
      <sz val="11"/>
      <name val="Arial Unicode MS"/>
      <family val="2"/>
    </font>
    <font>
      <b/>
      <i/>
      <u/>
      <sz val="14"/>
      <name val="Arial Unicode MS"/>
      <family val="2"/>
    </font>
    <font>
      <b/>
      <i/>
      <u/>
      <sz val="12"/>
      <name val="Arial Unicode MS"/>
      <family val="2"/>
    </font>
    <font>
      <u/>
      <sz val="12"/>
      <name val="Arial Unicode MS"/>
      <family val="2"/>
    </font>
    <font>
      <b/>
      <u/>
      <sz val="14"/>
      <name val="Arial Unicode MS"/>
      <family val="2"/>
    </font>
    <font>
      <sz val="14"/>
      <name val="Arial Unicode MS"/>
      <family val="2"/>
    </font>
    <font>
      <b/>
      <sz val="11"/>
      <color theme="1"/>
      <name val="Arial Unicode MS"/>
      <family val="2"/>
    </font>
    <font>
      <sz val="10"/>
      <name val="Times New Roman"/>
      <family val="1"/>
    </font>
    <font>
      <b/>
      <i/>
      <sz val="11"/>
      <name val="Arial Unicode MS"/>
      <family val="2"/>
    </font>
    <font>
      <u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Arial"/>
      <family val="2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1" fontId="6" fillId="0" borderId="0" xfId="0" applyNumberFormat="1" applyFont="1" applyAlignment="1">
      <alignment horizontal="right"/>
    </xf>
    <xf numFmtId="4" fontId="6" fillId="0" borderId="0" xfId="2" applyNumberFormat="1" applyFont="1"/>
    <xf numFmtId="0" fontId="6" fillId="0" borderId="0" xfId="0" applyFont="1"/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" fontId="10" fillId="0" borderId="0" xfId="0" applyNumberFormat="1" applyFont="1" applyAlignment="1">
      <alignment horizontal="right" vertical="center"/>
    </xf>
    <xf numFmtId="4" fontId="10" fillId="0" borderId="0" xfId="2" applyNumberFormat="1" applyFont="1" applyAlignment="1">
      <alignment vertical="center"/>
    </xf>
    <xf numFmtId="0" fontId="10" fillId="0" borderId="0" xfId="0" applyFont="1" applyAlignment="1">
      <alignment vertical="center"/>
    </xf>
    <xf numFmtId="1" fontId="10" fillId="0" borderId="0" xfId="0" applyNumberFormat="1" applyFont="1" applyAlignment="1">
      <alignment horizontal="right"/>
    </xf>
    <xf numFmtId="4" fontId="10" fillId="0" borderId="0" xfId="2" applyNumberFormat="1" applyFont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1" fontId="8" fillId="0" borderId="0" xfId="2" applyNumberFormat="1" applyFont="1" applyAlignment="1">
      <alignment horizontal="right"/>
    </xf>
    <xf numFmtId="4" fontId="8" fillId="0" borderId="0" xfId="2" applyNumberFormat="1" applyFont="1" applyAlignment="1">
      <alignment horizontal="right"/>
    </xf>
    <xf numFmtId="40" fontId="8" fillId="0" borderId="0" xfId="2" applyNumberFormat="1" applyFont="1" applyAlignment="1">
      <alignment horizontal="right"/>
    </xf>
    <xf numFmtId="0" fontId="12" fillId="0" borderId="0" xfId="0" applyFont="1" applyAlignment="1">
      <alignment vertical="center"/>
    </xf>
    <xf numFmtId="0" fontId="12" fillId="0" borderId="0" xfId="0" applyFont="1"/>
    <xf numFmtId="165" fontId="13" fillId="0" borderId="0" xfId="2" applyNumberFormat="1" applyFont="1" applyAlignment="1">
      <alignment horizontal="center"/>
    </xf>
    <xf numFmtId="1" fontId="11" fillId="0" borderId="0" xfId="2" applyNumberFormat="1" applyFont="1" applyAlignment="1">
      <alignment horizontal="right"/>
    </xf>
    <xf numFmtId="4" fontId="11" fillId="0" borderId="0" xfId="2" applyNumberFormat="1" applyFont="1" applyAlignment="1">
      <alignment horizontal="right"/>
    </xf>
    <xf numFmtId="40" fontId="11" fillId="0" borderId="0" xfId="2" applyNumberFormat="1" applyFont="1" applyAlignment="1">
      <alignment horizontal="right"/>
    </xf>
    <xf numFmtId="0" fontId="8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65" fontId="6" fillId="0" borderId="2" xfId="2" applyNumberFormat="1" applyFont="1" applyBorder="1" applyAlignment="1">
      <alignment vertical="center"/>
    </xf>
    <xf numFmtId="4" fontId="6" fillId="0" borderId="2" xfId="2" applyNumberFormat="1" applyFont="1" applyBorder="1" applyAlignment="1">
      <alignment vertical="center"/>
    </xf>
    <xf numFmtId="40" fontId="8" fillId="0" borderId="4" xfId="2" applyNumberFormat="1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horizontal="center"/>
    </xf>
    <xf numFmtId="165" fontId="12" fillId="0" borderId="0" xfId="2" applyNumberFormat="1" applyFont="1" applyAlignment="1">
      <alignment horizontal="center"/>
    </xf>
    <xf numFmtId="1" fontId="6" fillId="0" borderId="0" xfId="2" applyNumberFormat="1" applyFont="1" applyAlignment="1">
      <alignment horizontal="right"/>
    </xf>
    <xf numFmtId="4" fontId="6" fillId="0" borderId="0" xfId="2" applyNumberFormat="1" applyFont="1" applyAlignment="1">
      <alignment horizontal="right"/>
    </xf>
    <xf numFmtId="40" fontId="6" fillId="0" borderId="0" xfId="2" applyNumberFormat="1" applyFont="1" applyAlignment="1">
      <alignment horizontal="right"/>
    </xf>
    <xf numFmtId="0" fontId="15" fillId="0" borderId="0" xfId="0" applyFont="1" applyAlignment="1">
      <alignment horizontal="center"/>
    </xf>
    <xf numFmtId="4" fontId="15" fillId="0" borderId="0" xfId="2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4" fillId="0" borderId="0" xfId="2" applyNumberFormat="1" applyFont="1" applyAlignment="1">
      <alignment horizontal="right"/>
    </xf>
    <xf numFmtId="4" fontId="14" fillId="0" borderId="0" xfId="2" applyNumberFormat="1" applyFont="1" applyAlignment="1">
      <alignment horizontal="right"/>
    </xf>
    <xf numFmtId="40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/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" fontId="14" fillId="2" borderId="1" xfId="2" applyNumberFormat="1" applyFont="1" applyFill="1" applyBorder="1" applyAlignment="1">
      <alignment horizontal="center" vertical="center"/>
    </xf>
    <xf numFmtId="4" fontId="14" fillId="2" borderId="1" xfId="2" applyNumberFormat="1" applyFont="1" applyFill="1" applyBorder="1" applyAlignment="1">
      <alignment horizontal="center" vertical="center"/>
    </xf>
    <xf numFmtId="40" fontId="14" fillId="2" borderId="1" xfId="2" applyNumberFormat="1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7" fillId="0" borderId="5" xfId="0" applyFont="1" applyBorder="1"/>
    <xf numFmtId="4" fontId="17" fillId="0" borderId="7" xfId="2" applyNumberFormat="1" applyFont="1" applyBorder="1" applyAlignment="1"/>
    <xf numFmtId="0" fontId="17" fillId="0" borderId="5" xfId="0" applyFont="1" applyBorder="1" applyAlignment="1">
      <alignment horizontal="right"/>
    </xf>
    <xf numFmtId="0" fontId="14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" fontId="6" fillId="0" borderId="9" xfId="2" applyNumberFormat="1" applyFont="1" applyBorder="1" applyAlignment="1">
      <alignment horizontal="right"/>
    </xf>
    <xf numFmtId="40" fontId="6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4" fillId="0" borderId="13" xfId="0" applyFont="1" applyBorder="1" applyAlignment="1">
      <alignment horizontal="center"/>
    </xf>
    <xf numFmtId="1" fontId="6" fillId="0" borderId="12" xfId="2" applyNumberFormat="1" applyFont="1" applyBorder="1" applyAlignment="1">
      <alignment horizontal="right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14" fillId="0" borderId="12" xfId="0" applyFont="1" applyBorder="1" applyAlignment="1">
      <alignment horizontal="center"/>
    </xf>
    <xf numFmtId="1" fontId="6" fillId="0" borderId="13" xfId="2" applyNumberFormat="1" applyFont="1" applyFill="1" applyBorder="1" applyAlignment="1">
      <alignment horizontal="right"/>
    </xf>
    <xf numFmtId="0" fontId="8" fillId="0" borderId="12" xfId="0" applyFont="1" applyBorder="1" applyAlignment="1">
      <alignment horizontal="center"/>
    </xf>
    <xf numFmtId="40" fontId="6" fillId="0" borderId="9" xfId="2" applyNumberFormat="1" applyFont="1" applyBorder="1" applyAlignment="1">
      <alignment horizontal="right" vertical="center"/>
    </xf>
    <xf numFmtId="1" fontId="6" fillId="0" borderId="9" xfId="2" applyNumberFormat="1" applyFont="1" applyFill="1" applyBorder="1" applyAlignment="1">
      <alignment horizontal="right"/>
    </xf>
    <xf numFmtId="0" fontId="8" fillId="0" borderId="9" xfId="0" applyFont="1" applyBorder="1" applyAlignment="1">
      <alignment horizontal="center"/>
    </xf>
    <xf numFmtId="0" fontId="19" fillId="0" borderId="10" xfId="0" applyFont="1" applyBorder="1"/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14" fillId="0" borderId="17" xfId="0" applyFont="1" applyBorder="1" applyAlignment="1">
      <alignment horizontal="center"/>
    </xf>
    <xf numFmtId="1" fontId="6" fillId="0" borderId="14" xfId="2" applyNumberFormat="1" applyFont="1" applyFill="1" applyBorder="1" applyAlignment="1">
      <alignment horizontal="right"/>
    </xf>
    <xf numFmtId="0" fontId="6" fillId="0" borderId="14" xfId="0" applyFont="1" applyBorder="1" applyAlignment="1">
      <alignment horizontal="center"/>
    </xf>
    <xf numFmtId="40" fontId="6" fillId="0" borderId="18" xfId="0" applyNumberFormat="1" applyFont="1" applyBorder="1" applyAlignment="1">
      <alignment horizontal="right"/>
    </xf>
    <xf numFmtId="166" fontId="14" fillId="0" borderId="18" xfId="2" applyNumberFormat="1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" fontId="6" fillId="0" borderId="5" xfId="2" applyNumberFormat="1" applyFont="1" applyBorder="1" applyAlignment="1">
      <alignment horizontal="right"/>
    </xf>
    <xf numFmtId="40" fontId="6" fillId="0" borderId="5" xfId="0" applyNumberFormat="1" applyFont="1" applyBorder="1" applyAlignment="1">
      <alignment horizontal="right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/>
    <xf numFmtId="0" fontId="14" fillId="0" borderId="21" xfId="0" applyFont="1" applyBorder="1" applyAlignment="1">
      <alignment horizontal="center"/>
    </xf>
    <xf numFmtId="1" fontId="6" fillId="0" borderId="19" xfId="2" applyNumberFormat="1" applyFont="1" applyFill="1" applyBorder="1" applyAlignment="1">
      <alignment horizontal="right"/>
    </xf>
    <xf numFmtId="0" fontId="6" fillId="0" borderId="19" xfId="0" applyFont="1" applyBorder="1" applyAlignment="1">
      <alignment horizontal="center"/>
    </xf>
    <xf numFmtId="40" fontId="6" fillId="0" borderId="22" xfId="0" applyNumberFormat="1" applyFont="1" applyBorder="1" applyAlignment="1">
      <alignment horizontal="right"/>
    </xf>
    <xf numFmtId="40" fontId="14" fillId="0" borderId="22" xfId="2" applyNumberFormat="1" applyFont="1" applyBorder="1" applyAlignment="1">
      <alignment horizontal="right" vertical="center"/>
    </xf>
    <xf numFmtId="0" fontId="11" fillId="0" borderId="23" xfId="0" applyFont="1" applyBorder="1" applyAlignment="1">
      <alignment horizontal="center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horizontal="right" vertical="center" wrapText="1"/>
    </xf>
    <xf numFmtId="0" fontId="14" fillId="0" borderId="27" xfId="0" applyFont="1" applyBorder="1" applyAlignment="1">
      <alignment horizontal="right" vertical="center" wrapText="1"/>
    </xf>
    <xf numFmtId="166" fontId="23" fillId="0" borderId="28" xfId="0" applyNumberFormat="1" applyFont="1" applyBorder="1"/>
    <xf numFmtId="0" fontId="11" fillId="0" borderId="29" xfId="0" applyFont="1" applyBorder="1" applyAlignment="1">
      <alignment horizontal="center"/>
    </xf>
    <xf numFmtId="0" fontId="14" fillId="0" borderId="3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4" xfId="0" applyFont="1" applyBorder="1" applyAlignment="1">
      <alignment horizontal="right" vertical="center" wrapText="1"/>
    </xf>
    <xf numFmtId="166" fontId="23" fillId="0" borderId="30" xfId="0" applyNumberFormat="1" applyFont="1" applyBorder="1"/>
    <xf numFmtId="0" fontId="11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right" vertical="center" wrapText="1"/>
    </xf>
    <xf numFmtId="166" fontId="23" fillId="0" borderId="33" xfId="0" applyNumberFormat="1" applyFont="1" applyBorder="1"/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0" xfId="2" applyNumberFormat="1" applyFont="1" applyAlignment="1">
      <alignment horizontal="right" vertical="center"/>
    </xf>
    <xf numFmtId="40" fontId="6" fillId="0" borderId="0" xfId="2" applyNumberFormat="1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8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" fontId="8" fillId="0" borderId="0" xfId="2" applyNumberFormat="1" applyFont="1" applyAlignment="1">
      <alignment horizontal="left"/>
    </xf>
    <xf numFmtId="0" fontId="14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" fontId="27" fillId="0" borderId="0" xfId="1" applyNumberFormat="1" applyFont="1" applyAlignment="1">
      <alignment horizontal="right" vertical="center"/>
    </xf>
    <xf numFmtId="40" fontId="27" fillId="0" borderId="0" xfId="1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/>
  </cellXfs>
  <cellStyles count="3">
    <cellStyle name="Comma" xfId="1" builtinId="3"/>
    <cellStyle name="Comma 2" xfId="2" xr:uid="{26FA4B80-CF9D-4AB5-8FDE-8CCC1AA913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jpe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210989</xdr:colOff>
      <xdr:row>0</xdr:row>
      <xdr:rowOff>121554</xdr:rowOff>
    </xdr:from>
    <xdr:to>
      <xdr:col>2</xdr:col>
      <xdr:colOff>1685925</xdr:colOff>
      <xdr:row>5</xdr:row>
      <xdr:rowOff>124166</xdr:rowOff>
    </xdr:to>
    <xdr:pic>
      <xdr:nvPicPr>
        <xdr:cNvPr id="2" name="Picture 3" descr="Mikro Logo.jpg">
          <a:extLst>
            <a:ext uri="{FF2B5EF4-FFF2-40B4-BE49-F238E27FC236}">
              <a16:creationId xmlns:a16="http://schemas.microsoft.com/office/drawing/2014/main" id="{1B2CBF03-F4C2-4939-B622-27336B4F3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989" y="121554"/>
          <a:ext cx="2875111" cy="1183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28574</xdr:colOff>
      <xdr:row>70</xdr:row>
      <xdr:rowOff>71100</xdr:rowOff>
    </xdr:from>
    <xdr:to>
      <xdr:col>2</xdr:col>
      <xdr:colOff>577259</xdr:colOff>
      <xdr:row>74</xdr:row>
      <xdr:rowOff>18081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5CB3292-B851-43A1-8A47-609766BF5340}"/>
                </a:ext>
              </a:extLst>
            </xdr14:cNvPr>
            <xdr14:cNvContentPartPr/>
          </xdr14:nvContentPartPr>
          <xdr14:nvPr macro=""/>
          <xdr14:xfrm>
            <a:off x="552449" y="12184995"/>
            <a:ext cx="1619251" cy="651831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922F2B5-AFB7-4CDE-9487-58884EDC2E9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46314" y="12179301"/>
              <a:ext cx="1631521" cy="6632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188100</xdr:colOff>
      <xdr:row>74</xdr:row>
      <xdr:rowOff>144510</xdr:rowOff>
    </xdr:from>
    <xdr:to>
      <xdr:col>1</xdr:col>
      <xdr:colOff>188460</xdr:colOff>
      <xdr:row>74</xdr:row>
      <xdr:rowOff>144870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7B3AF7D-87DD-475F-A213-6F1C98D0F19A}"/>
                </a:ext>
              </a:extLst>
            </xdr14:cNvPr>
            <xdr14:cNvContentPartPr/>
          </xdr14:nvContentPartPr>
          <xdr14:nvPr macro=""/>
          <xdr14:xfrm>
            <a:off x="713880" y="22945455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C462723-219E-4CB3-B55F-1005C7D91C4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07760" y="229393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188100</xdr:colOff>
      <xdr:row>75</xdr:row>
      <xdr:rowOff>144510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CD7607D-13FD-435D-8DE6-0EF0E8F9D961}"/>
                </a:ext>
              </a:extLst>
            </xdr14:cNvPr>
            <xdr14:cNvContentPartPr/>
          </xdr14:nvContentPartPr>
          <xdr14:nvPr macro=""/>
          <xdr14:xfrm>
            <a:off x="713880" y="22945455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E09F10C-1D4E-4286-BF32-27AE4059E66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07760" y="229393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</xdr:col>
      <xdr:colOff>381000</xdr:colOff>
      <xdr:row>70</xdr:row>
      <xdr:rowOff>47625</xdr:rowOff>
    </xdr:from>
    <xdr:to>
      <xdr:col>6</xdr:col>
      <xdr:colOff>552450</xdr:colOff>
      <xdr:row>75</xdr:row>
      <xdr:rowOff>123824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96FCA09-EC2B-4EFA-B17B-221F15BE7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5649575"/>
          <a:ext cx="1733550" cy="1028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01:23:12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1089 395 24575,'-55'116'0,"-98"157"0,134-241 0,-302 466 0,195-309 0,-39 52 0,-70 112 0,222-331 0,13-22 0,0 0 0,0 0 0,-1 0 0,1 0 0,0 0 0,0 0 0,0 1 0,0-1 0,0 0 0,0 0 0,0 0 0,-1 0 0,1 4 0,0-4 0,0 0 0,0 0 0,0 0 0,0 0 0,0 1 0,0-1 0,0 0 0,0 0 0,0 0 0,0 2 0,0-2 0,0 0 0,0 0 0,0 0 0,0 0 0,0 0 0,0 0 0,0 0 0,1 0 0,-1 0 0,0 1 0,0-1 0,0 0 0,0 0 0,0 0 0,0 0 0,0 0 0,1 0 0,-1 0 0,0 0 0,0 0 0,0 0 0,0 0 0,29-14 0,149-123 0,-16 10 0,40-14-286,58-24-857,1869-1066-2155,-2078 1202 3245,-37 19 50,2 1 0,0-1 0,1 6 1,-1-5-1,23 0 0,-29 12 33,-11 7 179,-5 2-35,-1-1 1,0 1 0,-1-2-1,1 0 1,-1 0-1,2-3 1,-17 15 0,7-4 94,-218 206 2132,-335 239-2354,521-426 124,-193 128 102,232-164-273,13-13 0,14-14 0,-13 19 0,10-14 0,2-1 0,0-1 0,1 4 0,0 1 0,0 1 0,3 1 0,-2 3 0,24-17 0,-41 30 0,1-1 0,0 1 0,-2-1 0,2 1 0,-1 0 0,1 0 0,-1 1 0,0-1 0,3 1 0,17 2 0,1-14 0,-1 3 0,0-2 0,0-4 0,-1-1 0,31-26 0,-9 8 0,-3 0 0,-7 8 0,63-36 0,-91 60 0,-1-2 0,-1 3 0,0 0 0,2 0 0,-2-1 0,2 1 0,-1 1 0,-1-1 0,1 0 0,1 0 0,-2 3 0,1-1 0,-1 0 0,1 1 0,0-1 0,-1 0 0,7 6 0,28 15 0,-34-19 0,33 13 0,-34-16 0,0 2 0,-1 1 0,0-3 0,-1 2 0,0-1 0,2 0 0,-2 2 0,1-1 0,-1-2 0,1 3 0,-1 1 0,0-3 0,0 1 0,2 7 0,-2-9 0,0 1 0,-1 3 0,1-4 0,0 0 0,0 1 0,-1-1 0,1 0 0,0 2 0,0-1 0,0-1 0,0 2 0,1-2 0,1 0 0,-2 0 0,0-1 0,0 0 0,1 2 0,-1-2 0,1 1 0,-1 0 0,1-1 0,-1 0 0,0 2 0,1-2 0,0 0 0,0 0 0,-1 0 0,1-2 0,-1 2 0,0 0 0,2-2 0,10-1 0,-2-2 0,0-1 0,15-10 0,-12 6 0,18-6 0,2-1 0,0 3 0,-1 3 0,59-7 0,-77 14 0,2 1 0,-2-2 0,1-3 0,-1 1 0,29-21 0,-9 6 0,565-349 0,-431 272 0,245-141 0,-383 229 0,-30 11 0,-1 0 0,0 0 0,1 0 0,-1 1 0,1-1 0,-1 0 0,0 0 0,0 0 0,0 0 0,1 0 0,-1 1 0,0-1 0,0 0 0,0 0 0,0 1 0,1-1 0,-1 0 0,0 0 0,0 0 0,0 0 0,0 2 0,0-2 0,0 0 0,1 2 0,-1-2 0,0 0 0,0 2 0,0-2 0,0 0 0,0 0 0,1 0 0,-1 1 0,0-1 0,0 1 0,0-1 0,0 0 0,0 0 0,0 0 0,-1 2 0,1-2 0,0 1 0,0-1 0,0 0 0,0 1 0,0-1 0,-1 1 0,1-1 0,0 0 0,0 2 0,0-2 0,0 0 0,0 1 0,-10 24 0,9-24 0,-169 321 0,24-49 0,132-243-108,10-20-7,0 1 1,-1-2 0,0 2 0,-2-2-1,2 1 1,0-3 0,-2 2 0,1 0-1,-1-3 1,-7 9 0,0-7-6712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01:23:12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01:23:12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FED7-765D-4FF0-A14B-AE932D57B19A}">
  <dimension ref="A1:Q78"/>
  <sheetViews>
    <sheetView tabSelected="1" topLeftCell="D35" zoomScale="93" zoomScaleNormal="93" workbookViewId="0">
      <selection activeCell="L44" sqref="L44:V68"/>
    </sheetView>
  </sheetViews>
  <sheetFormatPr defaultRowHeight="15"/>
  <cols>
    <col min="1" max="1" width="5" customWidth="1"/>
    <col min="2" max="2" width="16" customWidth="1"/>
    <col min="3" max="3" width="27.5703125" customWidth="1"/>
    <col min="4" max="4" width="7.140625" customWidth="1"/>
    <col min="5" max="6" width="11.7109375" customWidth="1"/>
    <col min="7" max="8" width="20.28515625" customWidth="1"/>
    <col min="12" max="12" width="17.5703125" customWidth="1"/>
  </cols>
  <sheetData>
    <row r="1" spans="1:8" ht="27">
      <c r="A1" s="1"/>
      <c r="B1" s="1"/>
      <c r="C1" s="1"/>
      <c r="D1" s="2" t="s">
        <v>0</v>
      </c>
      <c r="E1" s="3"/>
      <c r="F1" s="4"/>
      <c r="G1" s="5"/>
      <c r="H1" s="6"/>
    </row>
    <row r="2" spans="1:8" ht="16.5">
      <c r="A2" s="7"/>
      <c r="B2" s="7"/>
      <c r="C2" s="7"/>
      <c r="D2" s="8" t="s">
        <v>1</v>
      </c>
      <c r="E2" s="9"/>
      <c r="F2" s="10"/>
      <c r="G2" s="11"/>
      <c r="H2" s="12"/>
    </row>
    <row r="3" spans="1:8" ht="16.5">
      <c r="A3" s="1"/>
      <c r="B3" s="1"/>
      <c r="C3" s="1"/>
      <c r="D3" s="8" t="s">
        <v>2</v>
      </c>
      <c r="E3" s="9"/>
      <c r="F3" s="13"/>
      <c r="G3" s="14"/>
      <c r="H3" s="15"/>
    </row>
    <row r="4" spans="1:8" ht="16.5">
      <c r="A4" s="1"/>
      <c r="B4" s="1"/>
      <c r="C4" s="1"/>
      <c r="D4" s="8" t="s">
        <v>3</v>
      </c>
      <c r="E4" s="9"/>
      <c r="F4" s="13"/>
      <c r="G4" s="14"/>
      <c r="H4" s="15"/>
    </row>
    <row r="5" spans="1:8" ht="16.5">
      <c r="A5" s="16"/>
      <c r="B5" s="17"/>
      <c r="C5" s="17"/>
      <c r="D5" s="8" t="s">
        <v>4</v>
      </c>
      <c r="E5" s="9"/>
      <c r="F5" s="18"/>
      <c r="G5" s="19"/>
      <c r="H5" s="20"/>
    </row>
    <row r="6" spans="1:8" ht="16.5">
      <c r="A6" s="16"/>
      <c r="B6" s="17"/>
      <c r="C6" s="17"/>
      <c r="D6" s="21" t="s">
        <v>5</v>
      </c>
      <c r="E6" s="22"/>
      <c r="F6" s="18"/>
      <c r="G6" s="19"/>
      <c r="H6" s="20"/>
    </row>
    <row r="7" spans="1:8">
      <c r="A7" s="16"/>
      <c r="B7" s="17"/>
      <c r="C7" s="17"/>
      <c r="D7" s="17"/>
      <c r="E7" s="23"/>
      <c r="F7" s="24"/>
      <c r="G7" s="25"/>
      <c r="H7" s="26"/>
    </row>
    <row r="8" spans="1:8" ht="17.25">
      <c r="A8" s="27" t="s">
        <v>6</v>
      </c>
      <c r="B8" s="28" t="s">
        <v>79</v>
      </c>
      <c r="C8" s="28"/>
      <c r="D8" s="29"/>
      <c r="E8" s="30" t="s">
        <v>7</v>
      </c>
      <c r="F8" s="31" t="s">
        <v>79</v>
      </c>
      <c r="G8" s="32"/>
      <c r="H8" s="33"/>
    </row>
    <row r="9" spans="1:8" ht="17.25">
      <c r="A9" s="27" t="s">
        <v>8</v>
      </c>
      <c r="B9" s="28" t="s">
        <v>79</v>
      </c>
      <c r="C9" s="34"/>
      <c r="D9" s="29"/>
      <c r="E9" s="30" t="s">
        <v>9</v>
      </c>
      <c r="F9" s="31" t="s">
        <v>79</v>
      </c>
      <c r="G9" s="32"/>
      <c r="H9" s="33"/>
    </row>
    <row r="10" spans="1:8" ht="17.25">
      <c r="A10" s="27" t="s">
        <v>10</v>
      </c>
      <c r="B10" s="35" t="s">
        <v>79</v>
      </c>
      <c r="C10" s="28"/>
      <c r="D10" s="29"/>
      <c r="E10" s="30" t="s">
        <v>11</v>
      </c>
      <c r="F10" s="31" t="s">
        <v>79</v>
      </c>
      <c r="G10" s="32"/>
      <c r="H10" s="33"/>
    </row>
    <row r="11" spans="1:8" ht="17.25">
      <c r="A11" s="36"/>
      <c r="B11" s="6"/>
      <c r="C11" s="6"/>
      <c r="D11" s="6"/>
      <c r="E11" s="37"/>
      <c r="F11" s="38"/>
      <c r="G11" s="39"/>
      <c r="H11" s="40"/>
    </row>
    <row r="12" spans="1:8" ht="17.25" customHeight="1">
      <c r="A12" s="41" t="s">
        <v>12</v>
      </c>
      <c r="B12" s="41"/>
      <c r="C12" s="41"/>
      <c r="D12" s="41"/>
      <c r="E12" s="41"/>
      <c r="F12" s="41"/>
      <c r="G12" s="42"/>
      <c r="H12" s="41"/>
    </row>
    <row r="13" spans="1:8" ht="17.25">
      <c r="A13" s="43"/>
      <c r="B13" s="43"/>
      <c r="C13" s="43"/>
      <c r="D13" s="43"/>
      <c r="E13" s="44"/>
      <c r="F13" s="45"/>
      <c r="G13" s="46"/>
      <c r="H13" s="47"/>
    </row>
    <row r="14" spans="1:8" ht="17.25">
      <c r="A14" s="48" t="s">
        <v>80</v>
      </c>
      <c r="B14" s="49"/>
      <c r="C14" s="49"/>
      <c r="D14" s="43"/>
      <c r="F14" s="43"/>
      <c r="G14" s="50" t="s">
        <v>82</v>
      </c>
      <c r="H14" s="51"/>
    </row>
    <row r="15" spans="1:8" ht="17.25">
      <c r="A15" s="48" t="s">
        <v>81</v>
      </c>
      <c r="B15" s="52"/>
      <c r="C15" s="52"/>
      <c r="D15" s="43"/>
      <c r="E15" s="43"/>
      <c r="F15" s="4"/>
      <c r="G15" s="5"/>
      <c r="H15" s="6"/>
    </row>
    <row r="16" spans="1:8" ht="17.25">
      <c r="A16" s="53" t="s">
        <v>13</v>
      </c>
      <c r="B16" s="54" t="s">
        <v>14</v>
      </c>
      <c r="C16" s="54"/>
      <c r="D16" s="54"/>
      <c r="E16" s="55" t="s">
        <v>15</v>
      </c>
      <c r="F16" s="53" t="s">
        <v>16</v>
      </c>
      <c r="G16" s="56" t="s">
        <v>17</v>
      </c>
      <c r="H16" s="57" t="s">
        <v>18</v>
      </c>
    </row>
    <row r="17" spans="1:8" ht="16.5">
      <c r="A17" s="58"/>
      <c r="B17" s="59"/>
      <c r="C17" s="60"/>
      <c r="D17" s="61"/>
      <c r="E17" s="62"/>
      <c r="F17" s="62"/>
      <c r="G17" s="63"/>
      <c r="H17" s="64" t="s">
        <v>19</v>
      </c>
    </row>
    <row r="18" spans="1:8" ht="20.25">
      <c r="A18" s="65">
        <v>1</v>
      </c>
      <c r="B18" s="66" t="s">
        <v>20</v>
      </c>
      <c r="C18" s="67"/>
      <c r="D18" s="68"/>
      <c r="E18" s="69"/>
      <c r="F18" s="70"/>
      <c r="G18" s="71"/>
      <c r="H18" s="71"/>
    </row>
    <row r="19" spans="1:8" ht="20.25">
      <c r="A19" s="65"/>
      <c r="B19" s="72" t="s">
        <v>21</v>
      </c>
      <c r="C19" s="73"/>
      <c r="D19" s="68"/>
      <c r="E19" s="74"/>
      <c r="F19" s="75"/>
      <c r="G19" s="71"/>
      <c r="H19" s="71"/>
    </row>
    <row r="20" spans="1:8" ht="17.25">
      <c r="A20" s="76"/>
      <c r="B20" s="77" t="s">
        <v>22</v>
      </c>
      <c r="C20" s="78"/>
      <c r="D20" s="79"/>
      <c r="E20" s="80"/>
      <c r="F20" s="81" t="s">
        <v>23</v>
      </c>
      <c r="G20" s="71"/>
      <c r="H20" s="82">
        <f>SUM(E20*G20)</f>
        <v>0</v>
      </c>
    </row>
    <row r="21" spans="1:8" ht="17.25">
      <c r="A21" s="76"/>
      <c r="B21" s="77" t="s">
        <v>24</v>
      </c>
      <c r="C21" s="78"/>
      <c r="D21" s="79"/>
      <c r="E21" s="83"/>
      <c r="F21" s="84" t="s">
        <v>25</v>
      </c>
      <c r="G21" s="71"/>
      <c r="H21" s="82">
        <f>E21*G21</f>
        <v>0</v>
      </c>
    </row>
    <row r="22" spans="1:8" ht="17.25">
      <c r="A22" s="76"/>
      <c r="B22" s="77" t="s">
        <v>26</v>
      </c>
      <c r="C22" s="78"/>
      <c r="D22" s="79"/>
      <c r="E22" s="83"/>
      <c r="F22" s="84" t="s">
        <v>25</v>
      </c>
      <c r="G22" s="71"/>
      <c r="H22" s="82">
        <f>E22*G22</f>
        <v>0</v>
      </c>
    </row>
    <row r="23" spans="1:8" ht="17.25">
      <c r="A23" s="76"/>
      <c r="B23" s="77" t="s">
        <v>27</v>
      </c>
      <c r="C23" s="78"/>
      <c r="D23" s="79"/>
      <c r="E23" s="83"/>
      <c r="F23" s="84" t="s">
        <v>25</v>
      </c>
      <c r="G23" s="71"/>
      <c r="H23" s="82">
        <f>E23*G23</f>
        <v>0</v>
      </c>
    </row>
    <row r="24" spans="1:8" ht="17.25">
      <c r="A24" s="76"/>
      <c r="B24" s="77" t="s">
        <v>28</v>
      </c>
      <c r="C24" s="78"/>
      <c r="D24" s="79"/>
      <c r="E24" s="83"/>
      <c r="F24" s="84" t="s">
        <v>29</v>
      </c>
      <c r="G24" s="71"/>
      <c r="H24" s="82">
        <f>E24*G24</f>
        <v>0</v>
      </c>
    </row>
    <row r="25" spans="1:8" ht="17.25">
      <c r="A25" s="76"/>
      <c r="B25" s="85" t="s">
        <v>30</v>
      </c>
      <c r="C25" s="78"/>
      <c r="D25" s="79"/>
      <c r="E25" s="83"/>
      <c r="F25" s="84"/>
      <c r="G25" s="71"/>
      <c r="H25" s="82"/>
    </row>
    <row r="26" spans="1:8" ht="20.25">
      <c r="A26" s="76"/>
      <c r="B26" s="77" t="s">
        <v>31</v>
      </c>
      <c r="C26" s="78"/>
      <c r="D26" s="79"/>
      <c r="E26" s="83"/>
      <c r="F26" s="84" t="s">
        <v>29</v>
      </c>
      <c r="G26" s="71"/>
      <c r="H26" s="82">
        <f>E26*G26</f>
        <v>0</v>
      </c>
    </row>
    <row r="27" spans="1:8" ht="17.25">
      <c r="A27" s="76"/>
      <c r="B27" s="77" t="s">
        <v>32</v>
      </c>
      <c r="C27" s="78"/>
      <c r="D27" s="79"/>
      <c r="E27" s="83"/>
      <c r="F27" s="84" t="s">
        <v>29</v>
      </c>
      <c r="G27" s="71"/>
      <c r="H27" s="82">
        <f>E27*G27</f>
        <v>0</v>
      </c>
    </row>
    <row r="28" spans="1:8" ht="17.25">
      <c r="A28" s="76"/>
      <c r="B28" s="77" t="s">
        <v>33</v>
      </c>
      <c r="C28" s="78"/>
      <c r="D28" s="79"/>
      <c r="E28" s="83"/>
      <c r="F28" s="84" t="s">
        <v>34</v>
      </c>
      <c r="G28" s="71"/>
      <c r="H28" s="82" t="s">
        <v>35</v>
      </c>
    </row>
    <row r="29" spans="1:8" ht="17.25">
      <c r="A29" s="86"/>
      <c r="B29" s="87"/>
      <c r="C29" s="88"/>
      <c r="D29" s="89"/>
      <c r="E29" s="90"/>
      <c r="F29" s="91"/>
      <c r="G29" s="92"/>
      <c r="H29" s="93">
        <f>SUM(H20:H28)</f>
        <v>0</v>
      </c>
    </row>
    <row r="30" spans="1:8" ht="20.25">
      <c r="A30" s="94">
        <v>2</v>
      </c>
      <c r="B30" s="95" t="s">
        <v>36</v>
      </c>
      <c r="C30" s="96"/>
      <c r="D30" s="97"/>
      <c r="E30" s="98"/>
      <c r="F30" s="99"/>
      <c r="G30" s="100"/>
      <c r="H30" s="100"/>
    </row>
    <row r="31" spans="1:8" ht="20.25">
      <c r="A31" s="65"/>
      <c r="B31" s="72" t="s">
        <v>37</v>
      </c>
      <c r="C31" s="73"/>
      <c r="D31" s="68"/>
      <c r="E31" s="74"/>
      <c r="F31" s="75"/>
      <c r="G31" s="71"/>
      <c r="H31" s="71"/>
    </row>
    <row r="32" spans="1:8" ht="17.25">
      <c r="A32" s="76"/>
      <c r="B32" s="77" t="s">
        <v>22</v>
      </c>
      <c r="C32" s="78"/>
      <c r="D32" s="79"/>
      <c r="E32" s="80"/>
      <c r="F32" s="81" t="s">
        <v>23</v>
      </c>
      <c r="G32" s="71"/>
      <c r="H32" s="82">
        <f>SUM(E32*G32)</f>
        <v>0</v>
      </c>
    </row>
    <row r="33" spans="1:17" ht="17.25">
      <c r="A33" s="76"/>
      <c r="B33" s="77" t="s">
        <v>24</v>
      </c>
      <c r="C33" s="78"/>
      <c r="D33" s="79"/>
      <c r="E33" s="83"/>
      <c r="F33" s="84" t="s">
        <v>25</v>
      </c>
      <c r="G33" s="71"/>
      <c r="H33" s="82">
        <f>E33*G33</f>
        <v>0</v>
      </c>
    </row>
    <row r="34" spans="1:17" ht="17.25">
      <c r="A34" s="76"/>
      <c r="B34" s="77" t="s">
        <v>26</v>
      </c>
      <c r="C34" s="78"/>
      <c r="D34" s="79"/>
      <c r="E34" s="83"/>
      <c r="F34" s="84" t="s">
        <v>25</v>
      </c>
      <c r="G34" s="71"/>
      <c r="H34" s="82">
        <f>E34*G34</f>
        <v>0</v>
      </c>
    </row>
    <row r="35" spans="1:17" ht="17.25">
      <c r="A35" s="76"/>
      <c r="B35" s="77" t="s">
        <v>27</v>
      </c>
      <c r="C35" s="78"/>
      <c r="D35" s="79"/>
      <c r="E35" s="83"/>
      <c r="F35" s="84" t="s">
        <v>25</v>
      </c>
      <c r="G35" s="71"/>
      <c r="H35" s="82">
        <f>E35*G35</f>
        <v>0</v>
      </c>
    </row>
    <row r="36" spans="1:17" ht="17.25">
      <c r="A36" s="76"/>
      <c r="B36" s="77" t="s">
        <v>28</v>
      </c>
      <c r="C36" s="78"/>
      <c r="D36" s="79"/>
      <c r="E36" s="83"/>
      <c r="F36" s="84" t="s">
        <v>29</v>
      </c>
      <c r="G36" s="71"/>
      <c r="H36" s="82">
        <f>E36*G36</f>
        <v>0</v>
      </c>
    </row>
    <row r="37" spans="1:17" ht="17.25">
      <c r="A37" s="76"/>
      <c r="B37" s="85" t="s">
        <v>30</v>
      </c>
      <c r="C37" s="78"/>
      <c r="D37" s="79"/>
      <c r="E37" s="83"/>
      <c r="F37" s="84"/>
      <c r="G37" s="71"/>
      <c r="H37" s="82"/>
    </row>
    <row r="38" spans="1:17" ht="20.25">
      <c r="A38" s="76"/>
      <c r="B38" s="77" t="s">
        <v>31</v>
      </c>
      <c r="C38" s="78"/>
      <c r="D38" s="79"/>
      <c r="E38" s="83"/>
      <c r="F38" s="84" t="s">
        <v>29</v>
      </c>
      <c r="G38" s="71"/>
      <c r="H38" s="82">
        <f>E38*G38</f>
        <v>0</v>
      </c>
    </row>
    <row r="39" spans="1:17" ht="17.25">
      <c r="A39" s="76"/>
      <c r="B39" s="77" t="s">
        <v>38</v>
      </c>
      <c r="C39" s="78"/>
      <c r="D39" s="79"/>
      <c r="E39" s="83"/>
      <c r="F39" s="84" t="s">
        <v>29</v>
      </c>
      <c r="G39" s="71"/>
      <c r="H39" s="82">
        <f>E39*G39</f>
        <v>0</v>
      </c>
    </row>
    <row r="40" spans="1:17" ht="17.25">
      <c r="A40" s="76"/>
      <c r="B40" s="77" t="s">
        <v>33</v>
      </c>
      <c r="C40" s="78"/>
      <c r="D40" s="79"/>
      <c r="E40" s="83"/>
      <c r="F40" s="84" t="s">
        <v>34</v>
      </c>
      <c r="G40" s="71"/>
      <c r="H40" s="82" t="s">
        <v>35</v>
      </c>
    </row>
    <row r="41" spans="1:17" ht="18" thickBot="1">
      <c r="A41" s="101"/>
      <c r="B41" s="102"/>
      <c r="C41" s="6"/>
      <c r="D41" s="103"/>
      <c r="E41" s="104"/>
      <c r="F41" s="105"/>
      <c r="G41" s="106"/>
      <c r="H41" s="107">
        <f>SUM(H32:H40)</f>
        <v>0</v>
      </c>
    </row>
    <row r="42" spans="1:17" ht="17.25">
      <c r="A42" s="108"/>
      <c r="B42" s="109"/>
      <c r="C42" s="110"/>
      <c r="D42" s="110"/>
      <c r="E42" s="110"/>
      <c r="F42" s="111" t="s">
        <v>39</v>
      </c>
      <c r="G42" s="112"/>
      <c r="H42" s="113">
        <f>SUM(H29,H41)</f>
        <v>0</v>
      </c>
    </row>
    <row r="43" spans="1:17" ht="17.25" customHeight="1">
      <c r="A43" s="114"/>
      <c r="B43" s="115"/>
      <c r="C43" s="116"/>
      <c r="D43" s="116"/>
      <c r="E43" s="116"/>
      <c r="F43" s="116"/>
      <c r="G43" s="117" t="s">
        <v>40</v>
      </c>
      <c r="H43" s="118">
        <f>SUM(H42*10%)</f>
        <v>0</v>
      </c>
    </row>
    <row r="44" spans="1:17" ht="19.5" thickBot="1">
      <c r="A44" s="119"/>
      <c r="B44" s="120" t="s">
        <v>41</v>
      </c>
      <c r="C44" s="120"/>
      <c r="D44" s="120"/>
      <c r="E44" s="120"/>
      <c r="F44" s="120"/>
      <c r="G44" s="120"/>
      <c r="H44" s="121">
        <f>SUM(H42,H43)</f>
        <v>0</v>
      </c>
      <c r="L44" s="153" t="s">
        <v>99</v>
      </c>
    </row>
    <row r="46" spans="1:17" ht="20.25">
      <c r="B46" s="122" t="s">
        <v>42</v>
      </c>
      <c r="C46" s="123" t="s">
        <v>43</v>
      </c>
      <c r="D46" s="123"/>
      <c r="E46" s="123"/>
      <c r="F46" s="123"/>
      <c r="G46" s="123"/>
      <c r="H46" s="26"/>
      <c r="L46" s="140" t="s">
        <v>83</v>
      </c>
      <c r="M46" s="141"/>
      <c r="N46" s="141"/>
      <c r="O46" s="141"/>
      <c r="P46" s="141"/>
      <c r="Q46" s="141"/>
    </row>
    <row r="47" spans="1:17" ht="17.25">
      <c r="B47" s="122" t="s">
        <v>44</v>
      </c>
      <c r="C47" s="123" t="s">
        <v>45</v>
      </c>
      <c r="D47" s="124"/>
      <c r="E47" s="125"/>
      <c r="F47" s="126"/>
      <c r="G47" s="127"/>
      <c r="H47" s="26"/>
      <c r="L47" s="142"/>
      <c r="M47" s="142"/>
      <c r="N47" s="142"/>
      <c r="O47" s="142"/>
      <c r="P47" s="142"/>
      <c r="Q47" s="142"/>
    </row>
    <row r="48" spans="1:17" ht="17.25">
      <c r="B48" s="122" t="s">
        <v>46</v>
      </c>
      <c r="C48" s="123" t="s">
        <v>47</v>
      </c>
      <c r="D48" s="124"/>
      <c r="E48" s="125"/>
      <c r="F48" s="126"/>
      <c r="G48" s="127"/>
      <c r="H48" s="26"/>
      <c r="L48" s="143" t="s">
        <v>42</v>
      </c>
      <c r="M48" s="144" t="s">
        <v>84</v>
      </c>
      <c r="N48" s="144"/>
      <c r="O48" s="144"/>
      <c r="P48" s="144"/>
      <c r="Q48" s="144"/>
    </row>
    <row r="49" spans="2:17" ht="17.25">
      <c r="B49" s="122" t="s">
        <v>48</v>
      </c>
      <c r="C49" s="123" t="s">
        <v>49</v>
      </c>
      <c r="D49" s="124"/>
      <c r="E49" s="125"/>
      <c r="F49" s="126"/>
      <c r="G49" s="127"/>
      <c r="H49" s="26"/>
      <c r="L49" s="143" t="s">
        <v>44</v>
      </c>
      <c r="M49" s="144" t="s">
        <v>85</v>
      </c>
      <c r="N49" s="145"/>
      <c r="O49" s="146"/>
      <c r="P49" s="147"/>
      <c r="Q49" s="148"/>
    </row>
    <row r="50" spans="2:17" ht="20.25">
      <c r="B50" s="122" t="s">
        <v>50</v>
      </c>
      <c r="C50" s="123" t="s">
        <v>51</v>
      </c>
      <c r="D50" s="124"/>
      <c r="E50" s="125"/>
      <c r="F50" s="126"/>
      <c r="G50" s="127"/>
      <c r="H50" s="26"/>
      <c r="L50" s="143" t="s">
        <v>46</v>
      </c>
      <c r="M50" s="144" t="s">
        <v>47</v>
      </c>
      <c r="N50" s="145"/>
      <c r="O50" s="146"/>
      <c r="P50" s="147"/>
      <c r="Q50" s="148"/>
    </row>
    <row r="51" spans="2:17" ht="17.25">
      <c r="B51" s="123"/>
      <c r="C51" s="123" t="s">
        <v>52</v>
      </c>
      <c r="D51" s="123"/>
      <c r="E51" s="123"/>
      <c r="F51" s="123"/>
      <c r="G51" s="123"/>
      <c r="H51" s="26"/>
      <c r="L51" s="143" t="s">
        <v>48</v>
      </c>
      <c r="M51" s="144" t="s">
        <v>49</v>
      </c>
      <c r="N51" s="145"/>
      <c r="O51" s="146"/>
      <c r="P51" s="147"/>
      <c r="Q51" s="148"/>
    </row>
    <row r="52" spans="2:17" ht="18">
      <c r="B52" s="123"/>
      <c r="C52" s="123"/>
      <c r="D52" s="123"/>
      <c r="E52" s="123"/>
      <c r="F52" s="123"/>
      <c r="G52" s="123"/>
      <c r="H52" s="26"/>
      <c r="L52" s="143" t="s">
        <v>50</v>
      </c>
      <c r="M52" s="144" t="s">
        <v>86</v>
      </c>
      <c r="N52" s="145"/>
      <c r="O52" s="146"/>
      <c r="P52" s="147"/>
      <c r="Q52" s="148"/>
    </row>
    <row r="53" spans="2:17" ht="20.25">
      <c r="B53" s="128" t="s">
        <v>53</v>
      </c>
      <c r="C53" s="129"/>
      <c r="D53" s="129"/>
      <c r="E53" s="129"/>
      <c r="F53" s="129"/>
      <c r="G53" s="129"/>
      <c r="H53" s="26"/>
      <c r="L53" s="144"/>
      <c r="M53" s="144" t="s">
        <v>52</v>
      </c>
      <c r="N53" s="144"/>
      <c r="O53" s="144"/>
      <c r="P53" s="144"/>
      <c r="Q53" s="144"/>
    </row>
    <row r="54" spans="2:17" ht="17.25">
      <c r="B54" s="129" t="s">
        <v>54</v>
      </c>
      <c r="C54" s="129"/>
      <c r="D54" s="129"/>
      <c r="E54" s="129"/>
      <c r="F54" s="129"/>
      <c r="G54" s="129"/>
      <c r="H54" s="26"/>
      <c r="L54" s="141"/>
      <c r="M54" s="141"/>
      <c r="N54" s="141"/>
      <c r="O54" s="141"/>
      <c r="P54" s="141"/>
      <c r="Q54" s="141"/>
    </row>
    <row r="55" spans="2:17" ht="18">
      <c r="B55" s="129" t="s">
        <v>55</v>
      </c>
      <c r="C55" s="129"/>
      <c r="D55" s="129"/>
      <c r="E55" s="129"/>
      <c r="F55" s="129"/>
      <c r="G55" s="129"/>
      <c r="H55" s="26"/>
      <c r="L55" s="149" t="s">
        <v>53</v>
      </c>
      <c r="M55" s="141"/>
      <c r="N55" s="141"/>
      <c r="O55" s="141"/>
      <c r="P55" s="141"/>
      <c r="Q55" s="141"/>
    </row>
    <row r="56" spans="2:17" ht="17.25">
      <c r="B56" s="129" t="s">
        <v>56</v>
      </c>
      <c r="C56" s="129"/>
      <c r="D56" s="129"/>
      <c r="E56" s="129"/>
      <c r="F56" s="129"/>
      <c r="G56" s="129"/>
      <c r="H56" s="26"/>
      <c r="L56" s="141" t="s">
        <v>87</v>
      </c>
      <c r="M56" s="141"/>
      <c r="N56" s="141"/>
      <c r="O56" s="141"/>
      <c r="P56" s="141"/>
      <c r="Q56" s="141"/>
    </row>
    <row r="57" spans="2:17" ht="17.25">
      <c r="B57" s="129" t="s">
        <v>57</v>
      </c>
      <c r="C57" s="129"/>
      <c r="D57" s="129"/>
      <c r="E57" s="129"/>
      <c r="F57" s="129"/>
      <c r="G57" s="129"/>
      <c r="H57" s="26"/>
      <c r="L57" s="141" t="s">
        <v>55</v>
      </c>
      <c r="M57" s="141"/>
      <c r="N57" s="141"/>
      <c r="O57" s="141"/>
      <c r="P57" s="141"/>
      <c r="Q57" s="141"/>
    </row>
    <row r="58" spans="2:17" ht="17.25">
      <c r="B58" s="129" t="s">
        <v>58</v>
      </c>
      <c r="C58" s="129"/>
      <c r="D58" s="129"/>
      <c r="E58" s="129"/>
      <c r="F58" s="129"/>
      <c r="G58" s="129"/>
      <c r="H58" s="26"/>
      <c r="L58" s="150" t="s">
        <v>88</v>
      </c>
      <c r="M58" s="151"/>
      <c r="N58" s="151"/>
      <c r="O58" s="151"/>
      <c r="P58" s="151"/>
      <c r="Q58" s="151"/>
    </row>
    <row r="59" spans="2:17" ht="17.25">
      <c r="B59" s="129" t="s">
        <v>59</v>
      </c>
      <c r="C59" s="129"/>
      <c r="D59" s="129"/>
      <c r="E59" s="129"/>
      <c r="F59" s="129"/>
      <c r="G59" s="129"/>
      <c r="H59" s="26"/>
      <c r="L59" s="141" t="s">
        <v>89</v>
      </c>
      <c r="M59" s="141"/>
      <c r="N59" s="141"/>
      <c r="O59" s="141"/>
      <c r="P59" s="141"/>
      <c r="Q59" s="141"/>
    </row>
    <row r="60" spans="2:17" ht="17.25">
      <c r="B60" s="129" t="s">
        <v>60</v>
      </c>
      <c r="C60" s="129"/>
      <c r="D60" s="129"/>
      <c r="E60" s="129"/>
      <c r="F60" s="129"/>
      <c r="G60" s="129"/>
      <c r="H60" s="26"/>
      <c r="L60" s="141" t="s">
        <v>90</v>
      </c>
      <c r="M60" s="141"/>
      <c r="N60" s="141"/>
      <c r="O60" s="141"/>
      <c r="P60" s="141"/>
      <c r="Q60" s="141"/>
    </row>
    <row r="61" spans="2:17" ht="17.25">
      <c r="B61" s="129" t="s">
        <v>61</v>
      </c>
      <c r="C61" s="129"/>
      <c r="D61" s="129"/>
      <c r="E61" s="129"/>
      <c r="F61" s="129"/>
      <c r="G61" s="129"/>
      <c r="H61" s="26"/>
      <c r="L61" s="141" t="s">
        <v>91</v>
      </c>
      <c r="M61" s="141"/>
      <c r="N61" s="141"/>
      <c r="O61" s="141"/>
      <c r="P61" s="141"/>
      <c r="Q61" s="141"/>
    </row>
    <row r="62" spans="2:17" ht="17.25">
      <c r="B62" s="129" t="s">
        <v>62</v>
      </c>
      <c r="C62" s="129"/>
      <c r="D62" s="129"/>
      <c r="E62" s="129"/>
      <c r="F62" s="129"/>
      <c r="G62" s="129"/>
      <c r="H62" s="26"/>
      <c r="L62" s="141" t="s">
        <v>92</v>
      </c>
      <c r="M62" s="141"/>
      <c r="N62" s="152"/>
      <c r="O62" s="152"/>
      <c r="P62" s="152"/>
      <c r="Q62" s="152"/>
    </row>
    <row r="63" spans="2:17" ht="17.25">
      <c r="B63" s="129" t="s">
        <v>63</v>
      </c>
      <c r="C63" s="129"/>
      <c r="D63" s="129"/>
      <c r="E63" s="129"/>
      <c r="F63" s="129"/>
      <c r="G63" s="129"/>
      <c r="H63" s="26"/>
      <c r="L63" s="141" t="s">
        <v>93</v>
      </c>
      <c r="M63" s="141"/>
      <c r="N63" s="141"/>
      <c r="O63" s="141"/>
      <c r="P63" s="141"/>
      <c r="Q63" s="141"/>
    </row>
    <row r="64" spans="2:17" ht="17.25">
      <c r="B64" s="129" t="s">
        <v>64</v>
      </c>
      <c r="C64" s="129"/>
      <c r="D64" s="129"/>
      <c r="E64" s="129"/>
      <c r="F64" s="129"/>
      <c r="G64" s="129"/>
      <c r="H64" s="26"/>
      <c r="L64" s="141" t="s">
        <v>94</v>
      </c>
      <c r="M64" s="141"/>
      <c r="N64" s="141"/>
      <c r="O64" s="141"/>
      <c r="P64" s="141"/>
      <c r="Q64" s="141"/>
    </row>
    <row r="65" spans="2:17" ht="17.25">
      <c r="B65" s="129" t="s">
        <v>65</v>
      </c>
      <c r="C65" s="129"/>
      <c r="D65" s="129"/>
      <c r="E65" s="129"/>
      <c r="F65" s="129"/>
      <c r="G65" s="129"/>
      <c r="H65" s="26"/>
      <c r="L65" s="141" t="s">
        <v>95</v>
      </c>
      <c r="M65" s="141"/>
      <c r="N65" s="141"/>
      <c r="O65" s="141"/>
      <c r="P65" s="141"/>
      <c r="Q65" s="141"/>
    </row>
    <row r="66" spans="2:17">
      <c r="L66" s="141" t="s">
        <v>96</v>
      </c>
      <c r="M66" s="141"/>
      <c r="N66" s="141"/>
      <c r="O66" s="141"/>
      <c r="P66" s="141"/>
      <c r="Q66" s="141"/>
    </row>
    <row r="67" spans="2:17" ht="16.5">
      <c r="B67" s="52" t="s">
        <v>66</v>
      </c>
      <c r="C67" s="52"/>
      <c r="D67" s="16"/>
      <c r="E67" s="130"/>
      <c r="F67" s="52"/>
      <c r="G67" s="131"/>
      <c r="L67" s="141" t="s">
        <v>97</v>
      </c>
      <c r="M67" s="141"/>
      <c r="N67" s="141"/>
      <c r="O67" s="141"/>
      <c r="P67" s="141"/>
      <c r="Q67" s="141"/>
    </row>
    <row r="68" spans="2:17" ht="16.5">
      <c r="B68" s="52"/>
      <c r="C68" s="52"/>
      <c r="D68" s="16"/>
      <c r="E68" s="130"/>
      <c r="F68" s="52"/>
      <c r="G68" s="131"/>
      <c r="L68" s="141" t="s">
        <v>98</v>
      </c>
      <c r="M68" s="141"/>
      <c r="N68" s="141"/>
      <c r="O68" s="141"/>
      <c r="P68" s="141"/>
      <c r="Q68" s="141"/>
    </row>
    <row r="69" spans="2:17" ht="16.5">
      <c r="B69" s="52"/>
      <c r="C69" s="52"/>
      <c r="D69" s="16"/>
      <c r="E69" s="130"/>
      <c r="F69" s="52"/>
      <c r="G69" s="131"/>
    </row>
    <row r="70" spans="2:17" ht="16.5">
      <c r="B70" s="131" t="s">
        <v>67</v>
      </c>
      <c r="C70" s="131"/>
      <c r="D70" s="16"/>
      <c r="E70" s="132"/>
      <c r="F70" s="131" t="s">
        <v>68</v>
      </c>
      <c r="G70" s="131"/>
    </row>
    <row r="71" spans="2:17" ht="16.5">
      <c r="B71" s="133"/>
      <c r="C71" s="131"/>
      <c r="D71" s="16"/>
      <c r="E71" s="130"/>
      <c r="F71" s="133"/>
      <c r="G71" s="131"/>
    </row>
    <row r="72" spans="2:17" ht="16.5">
      <c r="B72" s="131"/>
      <c r="C72" s="131"/>
      <c r="D72" s="16"/>
      <c r="E72" s="130"/>
      <c r="F72" s="131"/>
      <c r="G72" s="131"/>
    </row>
    <row r="73" spans="2:17" ht="16.5">
      <c r="B73" s="131"/>
      <c r="C73" s="131"/>
      <c r="D73" s="16"/>
      <c r="E73" s="130"/>
      <c r="F73" s="131"/>
      <c r="G73" s="131"/>
    </row>
    <row r="74" spans="2:17">
      <c r="B74" s="134" t="s">
        <v>69</v>
      </c>
      <c r="C74" s="17"/>
      <c r="D74" s="16"/>
      <c r="E74" s="130"/>
      <c r="F74" s="135" t="s">
        <v>70</v>
      </c>
      <c r="G74" s="25"/>
    </row>
    <row r="75" spans="2:17" ht="17.25">
      <c r="B75" s="136" t="s">
        <v>71</v>
      </c>
      <c r="C75" s="48"/>
      <c r="D75" s="16"/>
      <c r="E75" s="130"/>
      <c r="F75" s="49" t="s">
        <v>72</v>
      </c>
      <c r="G75" s="6"/>
    </row>
    <row r="76" spans="2:17" ht="17.25">
      <c r="B76" s="129" t="s">
        <v>73</v>
      </c>
      <c r="C76" s="134"/>
      <c r="D76" s="16"/>
      <c r="E76" s="130"/>
      <c r="F76" s="137" t="s">
        <v>74</v>
      </c>
      <c r="G76" s="138"/>
    </row>
    <row r="77" spans="2:17" ht="16.5">
      <c r="B77" s="139" t="s">
        <v>75</v>
      </c>
      <c r="C77" s="139"/>
      <c r="D77" s="16"/>
      <c r="E77" s="130"/>
      <c r="F77" s="131" t="s">
        <v>76</v>
      </c>
      <c r="G77" s="131"/>
    </row>
    <row r="78" spans="2:17" ht="16.5">
      <c r="B78" s="139" t="s">
        <v>77</v>
      </c>
      <c r="C78" s="139"/>
      <c r="D78" s="16"/>
      <c r="E78" s="130"/>
      <c r="F78" s="131" t="s">
        <v>78</v>
      </c>
      <c r="G78" s="131"/>
    </row>
  </sheetData>
  <mergeCells count="4">
    <mergeCell ref="A12:H12"/>
    <mergeCell ref="B16:D16"/>
    <mergeCell ref="F42:G42"/>
    <mergeCell ref="B44:G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ferhad daniel</dc:creator>
  <cp:lastModifiedBy>ferhad daniel</cp:lastModifiedBy>
  <dcterms:created xsi:type="dcterms:W3CDTF">2026-06-24T01:22:34Z</dcterms:created>
  <dcterms:modified xsi:type="dcterms:W3CDTF">2026-06-24T01:28:30Z</dcterms:modified>
</cp:coreProperties>
</file>